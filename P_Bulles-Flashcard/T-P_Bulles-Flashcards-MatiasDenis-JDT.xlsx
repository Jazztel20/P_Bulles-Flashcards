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C:\Users\pb58unc\Desktop\P_Bulles-Flashcards\P_Bulles-Flashcard\"/>
    </mc:Choice>
  </mc:AlternateContent>
  <xr:revisionPtr revIDLastSave="0" documentId="13_ncr:1_{5935DDB2-9B2B-43AC-BE71-00A46587B652}" xr6:coauthVersionLast="47" xr6:coauthVersionMax="47" xr10:uidLastSave="{00000000-0000-0000-0000-000000000000}"/>
  <bookViews>
    <workbookView xWindow="28680" yWindow="-225"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Donnees!$C$20:$C$57</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Donnees!$A$1:$G$59</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7" i="156" l="1"/>
  <c r="D1" i="156"/>
  <c r="D20" i="156" s="1"/>
  <c r="D39" i="156" s="1"/>
  <c r="D58" i="156" s="1"/>
  <c r="D77" i="156" s="1"/>
  <c r="D96" i="156" s="1"/>
  <c r="D115" i="156" s="1"/>
  <c r="B164" i="156"/>
  <c r="B145" i="156"/>
  <c r="B113" i="156"/>
  <c r="B94" i="156"/>
  <c r="B75" i="156"/>
  <c r="B56" i="156"/>
  <c r="B37" i="156"/>
  <c r="B18" i="156"/>
  <c r="B18" i="154" l="1"/>
  <c r="B13" i="11" l="1"/>
</calcChain>
</file>

<file path=xl/sharedStrings.xml><?xml version="1.0" encoding="utf-8"?>
<sst xmlns="http://schemas.openxmlformats.org/spreadsheetml/2006/main" count="217" uniqueCount="111">
  <si>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</si>
  <si>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</si>
  <si>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</si>
  <si>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</si>
  <si>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</si>
  <si>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</si>
  <si>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</si>
  <si>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</si>
  <si>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</si>
  <si>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</si>
  <si>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</si>
  <si>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</si>
  <si>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</si>
  <si>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</si>
  <si>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</si>
  <si>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</si>
  <si>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</si>
  <si>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</si>
  <si>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</si>
  <si>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</si>
  <si>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</si>
  <si>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</si>
  <si>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</si>
  <si>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</si>
  <si>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</si>
  <si>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</si>
  <si>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</si>
  <si>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</si>
  <si>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</si>
  <si>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</si>
  <si>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</si>
  <si>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</si>
  <si>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</si>
  <si>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</si>
  <si>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</si>
  <si>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</si>
  <si>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</si>
  <si>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</si>
  <si>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</si>
  <si>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</si>
  <si>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</si>
  <si>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</si>
  <si>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</si>
  <si>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</si>
  <si>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</si>
  <si>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</si>
  <si>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</si>
  <si>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</si>
  <si>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</si>
  <si>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</si>
  <si>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</si>
  <si>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</si>
  <si>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</si>
  <si>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</si>
  <si>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</si>
  <si>
    <t>Rendez-vous chez le médecin.</t>
  </si>
  <si>
    <t>Création de l'architecture des dossiers des pages</t>
  </si>
  <si>
    <r>
      <t xml:space="preserve">Création d'un dossier </t>
    </r>
    <r>
      <rPr>
        <i/>
        <sz val="10"/>
        <rFont val="Century Gothic"/>
        <family val="2"/>
        <scheme val="minor"/>
      </rPr>
      <t xml:space="preserve">components </t>
    </r>
    <r>
      <rPr>
        <sz val="10"/>
        <rFont val="Century Gothic"/>
        <family val="2"/>
        <scheme val="minor"/>
      </rPr>
      <t xml:space="preserve">qui contient la page </t>
    </r>
    <r>
      <rPr>
        <i/>
        <sz val="10"/>
        <rFont val="Century Gothic"/>
        <family val="2"/>
        <scheme val="minor"/>
      </rPr>
      <t xml:space="preserve">layout.edge, </t>
    </r>
    <r>
      <rPr>
        <sz val="10"/>
        <rFont val="Century Gothic"/>
        <family val="2"/>
        <scheme val="minor"/>
      </rPr>
      <t xml:space="preserve">création d'un dossier </t>
    </r>
    <r>
      <rPr>
        <i/>
        <sz val="10"/>
        <rFont val="Century Gothic"/>
        <family val="2"/>
        <scheme val="minor"/>
      </rPr>
      <t xml:space="preserve">partials </t>
    </r>
    <r>
      <rPr>
        <sz val="10"/>
        <rFont val="Century Gothic"/>
        <family val="2"/>
        <scheme val="minor"/>
      </rPr>
      <t xml:space="preserve">qui contient </t>
    </r>
    <r>
      <rPr>
        <i/>
        <sz val="10"/>
        <rFont val="Century Gothic"/>
        <family val="2"/>
        <scheme val="minor"/>
      </rPr>
      <t>header.edge</t>
    </r>
    <r>
      <rPr>
        <sz val="10"/>
        <rFont val="Century Gothic"/>
        <family val="2"/>
        <scheme val="minor"/>
      </rPr>
      <t xml:space="preserve"> et </t>
    </r>
    <r>
      <rPr>
        <i/>
        <sz val="10"/>
        <rFont val="Century Gothic"/>
        <family val="2"/>
        <scheme val="minor"/>
      </rPr>
      <t>footer.edge. Adaptation de la page home.edge</t>
    </r>
    <r>
      <rPr>
        <sz val="10"/>
        <rFont val="Century Gothic"/>
        <family val="2"/>
        <scheme val="minor"/>
      </rPr>
      <t xml:space="preserve">. </t>
    </r>
    <r>
      <rPr>
        <i/>
        <sz val="10"/>
        <rFont val="Century Gothic"/>
        <family val="2"/>
        <scheme val="minor"/>
      </rPr>
      <t>Le code de ces différentes pages se trouve dans les PDF, step 1 et 2.</t>
    </r>
    <r>
      <rPr>
        <sz val="10"/>
        <rFont val="Century Gothic"/>
        <family val="2"/>
        <scheme val="minor"/>
      </rPr>
      <t xml:space="preserve"> Il a été adapté pour l'application Flashcards depuis l'application test.</t>
    </r>
  </si>
  <si>
    <t>Création des migrations pour t_deck et t_flashcards et code</t>
  </si>
  <si>
    <t>Création des modèles et migrations pour t_deck et t_flashcards et code</t>
  </si>
  <si>
    <t>Création des migrations pour les decks, les users et les flashcards. Création des modèles flashcards. Le code a été repris de l'application test et adapté aux différents attributs du MCD/MLD. Mise en place de la route pour que la page d'accueil soit égale à la liste des decks via le futur DecksController.</t>
  </si>
  <si>
    <t>Création du contrôleur pour les decks</t>
  </si>
  <si>
    <t>Méthodes du contrôleur decks</t>
  </si>
  <si>
    <t>Création des routes pour créer, montrer, modifier et supprimer un deck</t>
  </si>
  <si>
    <t>Création du contrôleur pour les decks et création de la méthode index pour lister tous les decks, update de la route pour que la page d'accueil soit égale à la liste des decks.</t>
  </si>
  <si>
    <t>Création des méthodes show, edit, update et destroy afin de pouvoir intéragir les decks.</t>
  </si>
  <si>
    <t>Création des routes show, edit, update et destroy afin de pouvoir aller sur les différentes pages.</t>
  </si>
  <si>
    <t>Création des vues edit et show</t>
  </si>
  <si>
    <t>Création des vues edit et show afin d'arriver sur ces pages là via les routes pour pouvoir voir les détails d'un deck, le modifier. (La suppression se fait sur la page home directement)</t>
  </si>
  <si>
    <t>Création du validateur pour les decks</t>
  </si>
  <si>
    <t>Création d'un validateur pour la création et la modification d'un deck avec mise à jour des méthodes update et store qui l'utilisent. Mise à jour de create.edge afin d'afficher les erreurs.</t>
  </si>
  <si>
    <t>Vacances du 20.12.25 au 04.01.26</t>
  </si>
  <si>
    <t>Lundi 29.12.25</t>
  </si>
  <si>
    <t>Modification du validateur pour les decks</t>
  </si>
  <si>
    <t>Monsieur Charmier m'a fait remarquer que les validateurs pour la création et la modification d'un deck sont identiques et donc ils ont été adapté pour ne faire qu'un et ensuite les méthodes store et update ont été adaptées pour utiliser cet unique validateur.</t>
  </si>
  <si>
    <t>Initialisation du projet à la maison afin de pouvoir travailler dessus: installation de docker desktop, github desktop, le fchier .env.</t>
  </si>
  <si>
    <t>Initialisation du projet à la maison</t>
  </si>
  <si>
    <t>Création des routes pour créer, montrer, modifier et supprimer des cartes</t>
  </si>
  <si>
    <t>Création des contrôleurs et méthodes pour les cartes</t>
  </si>
  <si>
    <t>Création du contrôleur pour les cartes et création des méthodes index, create, store, edit, update, destroy afin de pouvoir faire les différentes actions CRUD sur les cartes.</t>
  </si>
  <si>
    <t>Création des vues index.edge, create.edge, edit.edge pour les flashcards</t>
  </si>
  <si>
    <t>Création des routes index, edit, update et destroy afin d'intéragir avec les cartes, corrections d'erreurs et ajout des routes publish, unpublish et play pour les decks.</t>
  </si>
  <si>
    <t>Création des vues flashcards afin d'avoir accès aux pages de cartes pour chaque deck, de les ajouter, les modifier et les supprimer. Modification de la page home.edge avec les actions complètes de chaque deck</t>
  </si>
  <si>
    <t>Création d'un seeder pour test de connexion</t>
  </si>
  <si>
    <t>Création du contrôleur pour l'authentification</t>
  </si>
  <si>
    <t>Création d'un seeder pour avoir deux utilisateurs un admin et un pas en vue de faire l'authentification comme dans les steps 10, 11, 12 et 13 de l'application test.</t>
  </si>
  <si>
    <t>Création du contrôleur pour l'authentification &amp; modification routes</t>
  </si>
  <si>
    <t>Création du contrôleur pour l'authentification avec message. Modification des routes afin de respecter les accès aux pages de l'authentification.</t>
  </si>
  <si>
    <t xml:space="preserve">Authentification </t>
  </si>
  <si>
    <t>Middlewares et affichage dynamique du header</t>
  </si>
  <si>
    <t>Contrôleurs et passage de auth aux vues</t>
  </si>
  <si>
    <t>Navigation et routes</t>
  </si>
  <si>
    <t xml:space="preserve">Vues Edge </t>
  </si>
  <si>
    <t>Ajout des pages login et signup, implémentation de la connexion (vérification des identifiants + session web), gestion des messages d’erreur, et mise en place de la déconnexion avec redirection vers l’accueil.</t>
  </si>
  <si>
    <t>Activation d’un silent auth global pour connaître l’état connecté/déconnecté sur toutes les pages, et adaptation du header pour afficher soit le formulaire de connexion + lien d’inscription, soit l’utilisateur connecté + bouton de déconnexion.</t>
  </si>
  <si>
    <t>Mise à jour des contrôleurs Decks et Flashcards pour transmettre auth aux vues et permettre un affichage cohérent de l’interface selon l’état de connexion.</t>
  </si>
  <si>
    <t>Réorganisation des routes avec séparation publiques / guest / auth, ajout des routes d’authentification (login/signup/logout), et regroupement des routes privées (CRUD decks + flashcards + publish/unpublish) sous middleware auth.</t>
  </si>
  <si>
    <t>Création des vues login.edge et signup.edge, ajout d’une vue minimale play.edge, et ajustements des vues decks/flashcards pour utiliser les routes mises à jour et éviter les erreurs de lookup (decks.index → home).</t>
  </si>
  <si>
    <t>Stylisation avec CSS</t>
  </si>
  <si>
    <t>mardi 30.12.25</t>
  </si>
  <si>
    <t>Ajout des classes CSS pour espacer correctement les champs de formulaire, ajout des styles d'alertes pour afficher les messages succès/erreur, mise en forme des liens et formulaires d'actions dans les tableaux via .containerOptions, uniformisation du style des boutons de connexion et de déconnexion.</t>
  </si>
  <si>
    <t>Sécurisation des decks/flashcards + validation FR</t>
  </si>
  <si>
    <t>Un filtrage a été ajouté sur la liste des decks afin d’afficher les decks publiés pour les invités, uniquement les decks du user connecté, et tous les decks pour l’admin.
Ensuite, des contrôles de droits owner/admin ont été intégrés sur toutes les actions sensibles (voir/éditer/supprimer/publier/dépublier) côté decks et flashcards, avec un message “Accès interdit” et redirection si besoin, ainsi que la règle du cahier des charges “impossible de publier un deck sans flashcards”.
Enfin, la validation des flashcards a été améliorée avec des messages en français via un SimpleMessagesProvider, utilisé dans store et update.</t>
  </si>
  <si>
    <t>Inscription sécurisée et header amélioré</t>
  </si>
  <si>
    <t>Ajout d’une validation complète de l’inscription avec messages en français (champs obligatoires, longueurs, confirmation, unicité du username) et affichage détaillé des erreurs dans la vue. Ajustement du header pour corriger l’affichage en mode connecté.</t>
  </si>
  <si>
    <t>Nettoyage du CSS</t>
  </si>
  <si>
    <t>Regroupement des règles redondantes et harmonisation des styles des liens/boutons (actions + header).</t>
  </si>
  <si>
    <t>Création de decks avec le user Edouard et le mdp admin dans le seeder</t>
  </si>
  <si>
    <t xml:space="preserve">Création de decks pour tester l'application </t>
  </si>
  <si>
    <t>Création de decks avec l'utilisateur Edouard et son mot de passe admin afin de tester les fonctionnalités connexion/déconnexion, ajout de decks/flashcards, modifier/supprimer, publier/dépublier.</t>
  </si>
  <si>
    <t>Rendu final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</si>
</sst>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8"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
      <i/>
      <sz val="1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5">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style="dashed">
        <color indexed="64"/>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5">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1" fillId="0" borderId="2" xfId="1"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6" fillId="0" borderId="2" xfId="0" applyFont="1" applyBorder="1" applyAlignment="1" applyProtection="1">
      <alignment horizontal="center" vertical="top" wrapText="1"/>
      <protection locked="0"/>
    </xf>
    <xf numFmtId="0" fontId="0" fillId="9" borderId="0" xfId="0" applyFill="1" applyAlignment="1">
      <alignment wrapText="1"/>
    </xf>
    <xf numFmtId="0" fontId="0" fillId="0" borderId="2" xfId="0" applyBorder="1" applyAlignment="1" applyProtection="1">
      <alignment horizontal="center" vertical="center" wrapText="1"/>
      <protection locked="0"/>
    </xf>
    <xf numFmtId="0" fontId="0" fillId="9" borderId="34" xfId="0" applyFill="1" applyBorder="1" applyAlignment="1">
      <alignment wrapText="1"/>
    </xf>
    <xf numFmtId="0" fontId="0" fillId="0" borderId="33"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9" fillId="0" borderId="3" xfId="0" applyFont="1" applyBorder="1" applyAlignment="1" applyProtection="1">
      <alignment horizontal="left" vertical="top" wrapText="1"/>
      <protection locked="0"/>
    </xf>
    <xf numFmtId="0" fontId="0" fillId="0" borderId="0" xfId="0" applyAlignment="1">
      <alignment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xf numFmtId="0" fontId="0" fillId="0" borderId="1" xfId="0" applyFont="1" applyBorder="1" applyAlignment="1" applyProtection="1">
      <alignment horizontal="left" vertical="top" wrapText="1"/>
      <protection locked="0"/>
    </xf>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66"/>
  <sheetViews>
    <sheetView view="pageBreakPreview" topLeftCell="A46" zoomScaleNormal="100" zoomScaleSheetLayoutView="100" workbookViewId="0">
      <selection activeCell="C56" sqref="C56"/>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46027</v>
      </c>
      <c r="D10" s="59"/>
      <c r="E10" s="59"/>
      <c r="F10" s="59"/>
      <c r="G10" s="60"/>
    </row>
    <row r="11" spans="1:7" ht="20.25" x14ac:dyDescent="0.25">
      <c r="A11" s="58"/>
      <c r="B11" s="68" t="s">
        <v>10</v>
      </c>
      <c r="C11" s="70">
        <v>8</v>
      </c>
      <c r="D11" s="59"/>
      <c r="E11" s="59"/>
      <c r="F11" s="59"/>
      <c r="G11" s="60"/>
    </row>
    <row r="12" spans="1:7" ht="20.25" x14ac:dyDescent="0.25">
      <c r="A12" s="58"/>
      <c r="B12" s="63" t="s">
        <v>11</v>
      </c>
      <c r="C12" s="71">
        <v>4</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00" t="s">
        <v>19</v>
      </c>
      <c r="C19" s="101"/>
      <c r="D19" s="59"/>
      <c r="E19" s="59"/>
      <c r="F19" s="59"/>
      <c r="G19" s="60"/>
    </row>
    <row r="20" spans="1:7" ht="20.25" x14ac:dyDescent="0.25">
      <c r="A20" s="78"/>
      <c r="B20" s="79" t="s">
        <v>20</v>
      </c>
      <c r="C20" s="80" t="s">
        <v>21</v>
      </c>
      <c r="D20" s="59"/>
      <c r="E20" s="59"/>
      <c r="F20" s="59"/>
      <c r="G20" s="60"/>
    </row>
    <row r="21" spans="1:7" ht="20.25" x14ac:dyDescent="0.25">
      <c r="A21" s="78"/>
      <c r="B21" s="79">
        <v>1</v>
      </c>
      <c r="C21" s="69" t="s">
        <v>29</v>
      </c>
      <c r="D21" s="59"/>
      <c r="E21" s="59"/>
      <c r="F21" s="59"/>
      <c r="G21" s="60"/>
    </row>
    <row r="22" spans="1:7" ht="20.25" x14ac:dyDescent="0.25">
      <c r="A22" s="78"/>
      <c r="B22" s="79">
        <v>2</v>
      </c>
      <c r="C22" s="70" t="s">
        <v>30</v>
      </c>
      <c r="D22" s="59"/>
      <c r="E22" s="59"/>
      <c r="F22" s="59"/>
      <c r="G22" s="60"/>
    </row>
    <row r="23" spans="1:7" ht="20.25" x14ac:dyDescent="0.25">
      <c r="A23" s="78"/>
      <c r="B23" s="81">
        <v>3</v>
      </c>
      <c r="C23" s="70" t="s">
        <v>47</v>
      </c>
      <c r="D23" s="59"/>
      <c r="E23" s="59"/>
      <c r="F23" s="59"/>
      <c r="G23" s="60"/>
    </row>
    <row r="24" spans="1:7" ht="20.25" x14ac:dyDescent="0.25">
      <c r="A24" s="78"/>
      <c r="B24" s="79">
        <v>4</v>
      </c>
      <c r="C24" s="70" t="s">
        <v>35</v>
      </c>
      <c r="D24" s="59"/>
      <c r="E24" s="59"/>
      <c r="F24" s="59"/>
      <c r="G24" s="60"/>
    </row>
    <row r="25" spans="1:7" ht="20.25" x14ac:dyDescent="0.25">
      <c r="A25" s="78"/>
      <c r="B25" s="79">
        <v>5</v>
      </c>
      <c r="C25" s="70" t="s">
        <v>36</v>
      </c>
      <c r="D25" s="59"/>
      <c r="E25" s="59"/>
      <c r="F25" s="59"/>
      <c r="G25" s="60"/>
    </row>
    <row r="26" spans="1:7" ht="20.25" x14ac:dyDescent="0.25">
      <c r="A26" s="78"/>
      <c r="B26" s="81">
        <v>6</v>
      </c>
      <c r="C26" s="70" t="s">
        <v>37</v>
      </c>
      <c r="D26" s="59"/>
      <c r="E26" s="59"/>
      <c r="F26" s="59"/>
      <c r="G26" s="60"/>
    </row>
    <row r="27" spans="1:7" ht="20.25" x14ac:dyDescent="0.25">
      <c r="A27" s="78"/>
      <c r="B27" s="79">
        <v>7</v>
      </c>
      <c r="C27" s="70" t="s">
        <v>41</v>
      </c>
      <c r="D27" s="59"/>
      <c r="E27" s="59"/>
      <c r="F27" s="59"/>
      <c r="G27" s="60"/>
    </row>
    <row r="28" spans="1:7" ht="20.25" x14ac:dyDescent="0.25">
      <c r="A28" s="78"/>
      <c r="B28" s="79">
        <v>8</v>
      </c>
      <c r="C28" s="71" t="s">
        <v>43</v>
      </c>
      <c r="D28" s="59"/>
      <c r="E28" s="59"/>
      <c r="F28" s="59"/>
      <c r="G28" s="60"/>
    </row>
    <row r="29" spans="1:7" ht="20.25" x14ac:dyDescent="0.25">
      <c r="A29" s="78"/>
      <c r="B29" s="81">
        <v>9</v>
      </c>
      <c r="C29" s="71" t="s">
        <v>46</v>
      </c>
      <c r="D29" s="59"/>
      <c r="E29" s="59"/>
      <c r="F29" s="59"/>
      <c r="G29" s="60"/>
    </row>
    <row r="30" spans="1:7" ht="20.25" x14ac:dyDescent="0.25">
      <c r="A30" s="78"/>
      <c r="B30" s="79">
        <v>10</v>
      </c>
      <c r="C30" s="70" t="s">
        <v>49</v>
      </c>
      <c r="D30" s="59"/>
      <c r="E30" s="59"/>
      <c r="F30" s="59"/>
      <c r="G30" s="60"/>
    </row>
    <row r="31" spans="1:7" ht="20.25" x14ac:dyDescent="0.25">
      <c r="A31" s="78"/>
      <c r="B31" s="79">
        <v>11</v>
      </c>
      <c r="C31" s="70" t="s">
        <v>50</v>
      </c>
      <c r="D31" s="59"/>
      <c r="E31" s="59"/>
      <c r="F31" s="59"/>
      <c r="G31" s="60"/>
    </row>
    <row r="32" spans="1:7" ht="20.25" x14ac:dyDescent="0.25">
      <c r="A32" s="78"/>
      <c r="B32" s="81">
        <v>12</v>
      </c>
      <c r="C32" s="70" t="s">
        <v>53</v>
      </c>
      <c r="D32" s="59"/>
      <c r="E32" s="59"/>
      <c r="F32" s="59"/>
      <c r="G32" s="60"/>
    </row>
    <row r="33" spans="1:7" ht="20.25" x14ac:dyDescent="0.25">
      <c r="A33" s="78"/>
      <c r="B33" s="79">
        <v>13</v>
      </c>
      <c r="C33" s="70" t="s">
        <v>56</v>
      </c>
      <c r="D33" s="59"/>
      <c r="E33" s="59"/>
      <c r="F33" s="59"/>
      <c r="G33" s="60"/>
    </row>
    <row r="34" spans="1:7" ht="20.25" x14ac:dyDescent="0.25">
      <c r="A34" s="78"/>
      <c r="B34" s="79">
        <v>14</v>
      </c>
      <c r="C34" s="71" t="s">
        <v>59</v>
      </c>
      <c r="D34" s="59"/>
      <c r="E34" s="59"/>
      <c r="F34" s="59"/>
      <c r="G34" s="60"/>
    </row>
    <row r="35" spans="1:7" ht="20.25" x14ac:dyDescent="0.25">
      <c r="A35" s="78"/>
      <c r="B35" s="81">
        <v>15</v>
      </c>
      <c r="C35" s="71" t="s">
        <v>61</v>
      </c>
      <c r="D35" s="59"/>
      <c r="E35" s="59"/>
      <c r="F35" s="59"/>
      <c r="G35" s="60"/>
    </row>
    <row r="36" spans="1:7" ht="20.25" x14ac:dyDescent="0.25">
      <c r="A36" s="78"/>
      <c r="B36" s="79">
        <v>16</v>
      </c>
      <c r="C36" s="70" t="s">
        <v>62</v>
      </c>
      <c r="D36" s="59"/>
      <c r="E36" s="59"/>
      <c r="F36" s="59"/>
      <c r="G36" s="60"/>
    </row>
    <row r="37" spans="1:7" ht="20.25" x14ac:dyDescent="0.25">
      <c r="A37" s="78"/>
      <c r="B37" s="79">
        <v>17</v>
      </c>
      <c r="C37" s="70" t="s">
        <v>63</v>
      </c>
      <c r="D37" s="59"/>
      <c r="E37" s="59"/>
      <c r="F37" s="59"/>
      <c r="G37" s="60"/>
    </row>
    <row r="38" spans="1:7" ht="20.25" x14ac:dyDescent="0.25">
      <c r="A38" s="78"/>
      <c r="B38" s="81">
        <v>18</v>
      </c>
      <c r="C38" s="70" t="s">
        <v>67</v>
      </c>
      <c r="D38" s="59"/>
      <c r="E38" s="59"/>
      <c r="F38" s="59"/>
      <c r="G38" s="60"/>
    </row>
    <row r="39" spans="1:7" ht="20.25" x14ac:dyDescent="0.25">
      <c r="A39" s="78"/>
      <c r="B39" s="79">
        <v>19</v>
      </c>
      <c r="C39" s="70" t="s">
        <v>69</v>
      </c>
      <c r="D39" s="59"/>
      <c r="E39" s="59"/>
      <c r="F39" s="59"/>
      <c r="G39" s="60"/>
    </row>
    <row r="40" spans="1:7" ht="20.25" x14ac:dyDescent="0.25">
      <c r="A40" s="78"/>
      <c r="B40" s="79">
        <v>20</v>
      </c>
      <c r="C40" s="71" t="s">
        <v>76</v>
      </c>
      <c r="D40" s="59"/>
      <c r="E40" s="59"/>
      <c r="F40" s="59"/>
      <c r="G40" s="60"/>
    </row>
    <row r="41" spans="1:7" ht="20.25" x14ac:dyDescent="0.25">
      <c r="A41" s="78"/>
      <c r="B41" s="81">
        <v>21</v>
      </c>
      <c r="C41" s="71" t="s">
        <v>73</v>
      </c>
      <c r="D41" s="59"/>
      <c r="E41" s="59"/>
      <c r="F41" s="59"/>
      <c r="G41" s="60"/>
    </row>
    <row r="42" spans="1:7" ht="20.25" x14ac:dyDescent="0.25">
      <c r="A42" s="78"/>
      <c r="B42" s="79">
        <v>22</v>
      </c>
      <c r="C42" s="71" t="s">
        <v>77</v>
      </c>
      <c r="D42" s="59"/>
      <c r="E42" s="59"/>
      <c r="F42" s="59"/>
      <c r="G42" s="60"/>
    </row>
    <row r="43" spans="1:7" ht="20.25" x14ac:dyDescent="0.25">
      <c r="A43" s="78"/>
      <c r="B43" s="79">
        <v>23</v>
      </c>
      <c r="C43" s="70" t="s">
        <v>78</v>
      </c>
      <c r="D43" s="59"/>
      <c r="E43" s="59"/>
      <c r="F43" s="59"/>
      <c r="G43" s="60"/>
    </row>
    <row r="44" spans="1:7" ht="20.25" x14ac:dyDescent="0.25">
      <c r="A44" s="78"/>
      <c r="B44" s="81">
        <v>24</v>
      </c>
      <c r="C44" s="70" t="s">
        <v>80</v>
      </c>
      <c r="D44" s="59"/>
      <c r="E44" s="59"/>
      <c r="F44" s="59"/>
      <c r="G44" s="60"/>
    </row>
    <row r="45" spans="1:7" ht="20.25" x14ac:dyDescent="0.25">
      <c r="A45" s="78"/>
      <c r="B45" s="81">
        <v>25</v>
      </c>
      <c r="C45" s="70" t="s">
        <v>83</v>
      </c>
      <c r="D45" s="59"/>
      <c r="E45" s="59"/>
      <c r="F45" s="59"/>
      <c r="G45" s="60"/>
    </row>
    <row r="46" spans="1:7" ht="20.25" x14ac:dyDescent="0.25">
      <c r="A46" s="78"/>
      <c r="B46" s="81">
        <v>26</v>
      </c>
      <c r="C46" s="70" t="s">
        <v>86</v>
      </c>
      <c r="D46" s="59"/>
      <c r="E46" s="59"/>
      <c r="F46" s="59"/>
      <c r="G46" s="60"/>
    </row>
    <row r="47" spans="1:7" ht="20.25" x14ac:dyDescent="0.25">
      <c r="A47" s="78"/>
      <c r="B47" s="81">
        <v>27</v>
      </c>
      <c r="C47" s="70" t="s">
        <v>88</v>
      </c>
      <c r="D47" s="59"/>
      <c r="E47" s="59"/>
      <c r="F47" s="59"/>
      <c r="G47" s="60"/>
    </row>
    <row r="48" spans="1:7" ht="20.25" x14ac:dyDescent="0.25">
      <c r="A48" s="78"/>
      <c r="B48" s="81">
        <v>28</v>
      </c>
      <c r="C48" s="70" t="s">
        <v>89</v>
      </c>
      <c r="D48" s="59"/>
      <c r="E48" s="59"/>
      <c r="F48" s="59"/>
      <c r="G48" s="60"/>
    </row>
    <row r="49" spans="1:7" ht="20.25" x14ac:dyDescent="0.25">
      <c r="A49" s="78"/>
      <c r="B49" s="81">
        <v>29</v>
      </c>
      <c r="C49" s="70" t="s">
        <v>90</v>
      </c>
      <c r="D49" s="59"/>
      <c r="E49" s="59"/>
      <c r="F49" s="59"/>
      <c r="G49" s="60"/>
    </row>
    <row r="50" spans="1:7" ht="20.25" x14ac:dyDescent="0.25">
      <c r="A50" s="78"/>
      <c r="B50" s="81">
        <v>30</v>
      </c>
      <c r="C50" s="70" t="s">
        <v>91</v>
      </c>
      <c r="D50" s="59"/>
      <c r="E50" s="59"/>
      <c r="F50" s="59"/>
      <c r="G50" s="60"/>
    </row>
    <row r="51" spans="1:7" ht="20.25" x14ac:dyDescent="0.25">
      <c r="A51" s="78"/>
      <c r="B51" s="81">
        <v>31</v>
      </c>
      <c r="C51" s="70" t="s">
        <v>92</v>
      </c>
      <c r="D51" s="59"/>
      <c r="E51" s="59"/>
      <c r="F51" s="59"/>
      <c r="G51" s="60"/>
    </row>
    <row r="52" spans="1:7" ht="20.25" x14ac:dyDescent="0.25">
      <c r="A52" s="78"/>
      <c r="B52" s="81">
        <v>32</v>
      </c>
      <c r="C52" s="70" t="s">
        <v>98</v>
      </c>
      <c r="D52" s="59"/>
      <c r="E52" s="59"/>
      <c r="F52" s="59"/>
      <c r="G52" s="60"/>
    </row>
    <row r="53" spans="1:7" ht="20.25" x14ac:dyDescent="0.25">
      <c r="A53" s="78"/>
      <c r="B53" s="81">
        <v>33</v>
      </c>
      <c r="C53" s="70" t="s">
        <v>101</v>
      </c>
      <c r="D53" s="59"/>
      <c r="E53" s="59"/>
      <c r="F53" s="59"/>
      <c r="G53" s="60"/>
    </row>
    <row r="54" spans="1:7" ht="20.25" x14ac:dyDescent="0.25">
      <c r="A54" s="78"/>
      <c r="B54" s="81">
        <v>34</v>
      </c>
      <c r="C54" s="70" t="s">
        <v>103</v>
      </c>
      <c r="D54" s="59"/>
      <c r="E54" s="59"/>
      <c r="F54" s="59"/>
      <c r="G54" s="60"/>
    </row>
    <row r="55" spans="1:7" ht="20.25" x14ac:dyDescent="0.25">
      <c r="A55" s="78"/>
      <c r="B55" s="81">
        <v>35</v>
      </c>
      <c r="C55" s="70" t="s">
        <v>105</v>
      </c>
      <c r="D55" s="59"/>
      <c r="E55" s="59"/>
      <c r="F55" s="59"/>
      <c r="G55" s="60"/>
    </row>
    <row r="56" spans="1:7" ht="20.25" x14ac:dyDescent="0.25">
      <c r="A56" s="78"/>
      <c r="B56" s="81">
        <v>36</v>
      </c>
      <c r="C56" s="70" t="s">
        <v>108</v>
      </c>
      <c r="D56" s="59"/>
      <c r="E56" s="59"/>
      <c r="F56" s="59"/>
      <c r="G56" s="60"/>
    </row>
    <row r="57" spans="1:7" ht="21" thickBot="1" x14ac:dyDescent="0.3">
      <c r="A57" s="78"/>
      <c r="B57" s="81"/>
      <c r="C57" s="70"/>
      <c r="D57" s="59"/>
      <c r="E57" s="59"/>
      <c r="F57" s="59"/>
      <c r="G57" s="60"/>
    </row>
    <row r="58" spans="1:7" x14ac:dyDescent="0.25">
      <c r="A58" s="78"/>
      <c r="B58" s="55"/>
      <c r="C58" s="59"/>
      <c r="D58" s="59"/>
      <c r="E58" s="59"/>
      <c r="F58" s="59"/>
      <c r="G58" s="60"/>
    </row>
    <row r="59" spans="1:7" x14ac:dyDescent="0.25">
      <c r="A59" s="78"/>
      <c r="B59" s="59"/>
      <c r="C59" s="59"/>
      <c r="D59" s="59"/>
      <c r="E59" s="59"/>
      <c r="F59" s="59"/>
      <c r="G59" s="60"/>
    </row>
    <row r="60" spans="1:7" x14ac:dyDescent="0.25">
      <c r="A60" s="78"/>
      <c r="B60" s="59"/>
      <c r="C60" s="59"/>
      <c r="D60" s="59"/>
      <c r="E60" s="59"/>
      <c r="F60" s="59"/>
      <c r="G60" s="60"/>
    </row>
    <row r="61" spans="1:7" x14ac:dyDescent="0.25">
      <c r="A61" s="78"/>
      <c r="B61" s="59"/>
      <c r="C61" s="59"/>
      <c r="D61" s="59"/>
      <c r="E61" s="59"/>
      <c r="F61" s="59"/>
      <c r="G61" s="60"/>
    </row>
    <row r="62" spans="1:7" x14ac:dyDescent="0.25">
      <c r="A62" s="78"/>
      <c r="B62" s="59"/>
      <c r="C62" s="59"/>
      <c r="D62" s="59"/>
      <c r="E62" s="59"/>
      <c r="F62" s="59"/>
      <c r="G62" s="60"/>
    </row>
    <row r="63" spans="1:7" x14ac:dyDescent="0.25">
      <c r="A63" s="78"/>
      <c r="B63" s="59"/>
      <c r="C63" s="59"/>
      <c r="D63" s="59"/>
      <c r="E63" s="59"/>
      <c r="F63" s="59"/>
      <c r="G63" s="60"/>
    </row>
    <row r="64" spans="1:7" x14ac:dyDescent="0.25">
      <c r="A64" s="78"/>
      <c r="B64" s="59"/>
      <c r="C64" s="59"/>
      <c r="D64" s="59"/>
      <c r="E64" s="59"/>
      <c r="F64" s="59"/>
      <c r="G64" s="60"/>
    </row>
    <row r="65" spans="1:7" x14ac:dyDescent="0.25">
      <c r="A65" s="78"/>
      <c r="B65" s="59"/>
      <c r="C65" s="59"/>
      <c r="D65" s="59"/>
      <c r="E65" s="59"/>
      <c r="F65" s="59"/>
      <c r="G65" s="60"/>
    </row>
    <row r="66" spans="1:7" ht="14.25" thickBot="1" x14ac:dyDescent="0.3">
      <c r="A66" s="82"/>
      <c r="B66" s="75"/>
      <c r="C66" s="75"/>
      <c r="D66" s="75"/>
      <c r="E66" s="75"/>
      <c r="F66" s="75"/>
      <c r="G66"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44"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4" r:id="rId5" name="btnCreatePlanning">
          <controlPr defaultSize="0" autoLine="0" r:id="rId6">
            <anchor moveWithCells="1">
              <from>
                <xdr:col>4</xdr:col>
                <xdr:colOff>9525</xdr:colOff>
                <xdr:row>5</xdr:row>
                <xdr:rowOff>9525</xdr:rowOff>
              </from>
              <to>
                <xdr:col>6</xdr:col>
                <xdr:colOff>95250</xdr:colOff>
                <xdr:row>7</xdr:row>
                <xdr:rowOff>47625</xdr:rowOff>
              </to>
            </anchor>
          </controlPr>
        </control>
      </mc:Choice>
      <mc:Fallback>
        <control shapeId="15364" r:id="rId5" name="btnCreatePlanning"/>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5" r:id="rId9" name="btnCreateWorkSheet">
          <controlPr defaultSize="0" autoLine="0" r:id="rId10">
            <anchor moveWithCells="1">
              <from>
                <xdr:col>4</xdr:col>
                <xdr:colOff>9525</xdr:colOff>
                <xdr:row>8</xdr:row>
                <xdr:rowOff>190500</xdr:rowOff>
              </from>
              <to>
                <xdr:col>6</xdr:col>
                <xdr:colOff>114300</xdr:colOff>
                <xdr:row>10</xdr:row>
                <xdr:rowOff>152400</xdr:rowOff>
              </to>
            </anchor>
          </controlPr>
        </control>
      </mc:Choice>
      <mc:Fallback>
        <control shapeId="15365" r:id="rId9" name="btnCreateWorkSheet"/>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02" t="s">
        <v>21</v>
      </c>
      <c r="C3" s="16">
        <v>0</v>
      </c>
    </row>
    <row r="4" spans="1:4" ht="19.5" customHeight="1" x14ac:dyDescent="0.25">
      <c r="A4" s="19"/>
      <c r="B4" s="103"/>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3"/>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66"/>
  <sheetViews>
    <sheetView tabSelected="1" topLeftCell="A138" workbookViewId="0">
      <selection activeCell="C152" sqref="C152"/>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x14ac:dyDescent="0.25">
      <c r="A3" s="5" t="s">
        <v>21</v>
      </c>
      <c r="B3" s="4">
        <v>12</v>
      </c>
      <c r="C3" s="86" t="s">
        <v>32</v>
      </c>
      <c r="D3" s="9"/>
    </row>
    <row r="4" spans="1:4" s="52" customFormat="1" x14ac:dyDescent="0.25">
      <c r="A4" s="1"/>
      <c r="B4" s="2"/>
      <c r="C4" s="87"/>
      <c r="D4" s="10"/>
    </row>
    <row r="5" spans="1:4" s="52" customFormat="1" x14ac:dyDescent="0.25">
      <c r="A5" s="1"/>
      <c r="B5" s="2"/>
      <c r="C5" s="87"/>
      <c r="D5" s="90"/>
    </row>
    <row r="6" spans="1:4" s="52" customFormat="1" x14ac:dyDescent="0.25">
      <c r="A6" s="1"/>
      <c r="B6" s="2"/>
      <c r="C6" s="87"/>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12</v>
      </c>
      <c r="C18" s="85" t="s">
        <v>31</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40.5" x14ac:dyDescent="0.25">
      <c r="A22" s="5" t="s">
        <v>29</v>
      </c>
      <c r="B22" s="4">
        <v>2</v>
      </c>
      <c r="C22" s="86" t="s">
        <v>33</v>
      </c>
      <c r="D22" s="9"/>
    </row>
    <row r="23" spans="1:8" ht="40.5" x14ac:dyDescent="0.25">
      <c r="A23" s="1" t="s">
        <v>30</v>
      </c>
      <c r="B23" s="2">
        <v>1</v>
      </c>
      <c r="C23" s="87" t="s">
        <v>34</v>
      </c>
      <c r="D23" s="10"/>
    </row>
    <row r="24" spans="1:8" ht="40.5" x14ac:dyDescent="0.25">
      <c r="A24" s="1" t="s">
        <v>47</v>
      </c>
      <c r="B24" s="2">
        <v>3</v>
      </c>
      <c r="C24" s="87" t="s">
        <v>44</v>
      </c>
      <c r="D24" s="10"/>
    </row>
    <row r="25" spans="1:8" ht="46.5" customHeight="1" x14ac:dyDescent="0.25">
      <c r="A25" s="1" t="s">
        <v>35</v>
      </c>
      <c r="B25" s="2">
        <v>3</v>
      </c>
      <c r="C25" s="87" t="s">
        <v>38</v>
      </c>
      <c r="D25" s="10"/>
      <c r="F25" s="31"/>
      <c r="G25" s="32"/>
      <c r="H25" s="33"/>
    </row>
    <row r="26" spans="1:8" ht="40.5" x14ac:dyDescent="0.25">
      <c r="A26" s="1" t="s">
        <v>36</v>
      </c>
      <c r="B26" s="2">
        <v>1</v>
      </c>
      <c r="C26" s="87" t="s">
        <v>39</v>
      </c>
      <c r="D26" s="10"/>
      <c r="F26" s="34"/>
      <c r="G26" s="30"/>
      <c r="H26" s="30"/>
    </row>
    <row r="27" spans="1:8" ht="40.5" x14ac:dyDescent="0.25">
      <c r="A27" s="1" t="s">
        <v>37</v>
      </c>
      <c r="B27" s="2">
        <v>2</v>
      </c>
      <c r="C27" s="87"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5" thickBot="1" x14ac:dyDescent="0.35">
      <c r="A36" s="3"/>
      <c r="B36" s="3"/>
      <c r="C36" s="11"/>
      <c r="D36" s="11"/>
      <c r="F36" s="40"/>
      <c r="G36" s="40"/>
      <c r="H36" s="40"/>
    </row>
    <row r="37" spans="1:8" ht="14.25" thickBot="1" x14ac:dyDescent="0.3">
      <c r="A37" s="47" t="s">
        <v>22</v>
      </c>
      <c r="B37" s="47">
        <f>SUM(B22:B36)</f>
        <v>12</v>
      </c>
      <c r="C37" s="85" t="s">
        <v>31</v>
      </c>
      <c r="D37" s="48"/>
    </row>
    <row r="38" spans="1:8" ht="15" thickBot="1" x14ac:dyDescent="0.35">
      <c r="A38" s="49"/>
      <c r="B38" s="49"/>
      <c r="C38" s="49"/>
      <c r="D38" s="49"/>
    </row>
    <row r="39" spans="1:8" ht="18.75" thickBot="1" x14ac:dyDescent="0.3">
      <c r="A39" s="42" t="s">
        <v>14</v>
      </c>
      <c r="B39" s="43">
        <v>3</v>
      </c>
      <c r="C39" s="44" t="s">
        <v>23</v>
      </c>
      <c r="D39" s="53">
        <f>$D$20+7</f>
        <v>45978</v>
      </c>
    </row>
    <row r="40" spans="1:8" ht="27.75" thickBot="1" x14ac:dyDescent="0.3">
      <c r="A40" s="45" t="s">
        <v>3</v>
      </c>
      <c r="B40" s="46" t="s">
        <v>15</v>
      </c>
      <c r="C40" s="45" t="s">
        <v>7</v>
      </c>
      <c r="D40" s="45" t="s">
        <v>13</v>
      </c>
    </row>
    <row r="41" spans="1:8" ht="27" x14ac:dyDescent="0.25">
      <c r="A41" s="5" t="s">
        <v>41</v>
      </c>
      <c r="B41" s="4">
        <v>1</v>
      </c>
      <c r="C41" s="86" t="s">
        <v>42</v>
      </c>
      <c r="D41" s="9"/>
    </row>
    <row r="42" spans="1:8" ht="162" x14ac:dyDescent="0.25">
      <c r="A42" s="1" t="s">
        <v>43</v>
      </c>
      <c r="B42" s="2">
        <v>11</v>
      </c>
      <c r="C42" s="87"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4.25" thickBot="1" x14ac:dyDescent="0.3">
      <c r="A55" s="3"/>
      <c r="B55" s="3"/>
      <c r="C55" s="11"/>
      <c r="D55" s="11"/>
    </row>
    <row r="56" spans="1:4" ht="14.25" thickBot="1" x14ac:dyDescent="0.3">
      <c r="A56" s="47" t="s">
        <v>22</v>
      </c>
      <c r="B56" s="47">
        <f>SUM(B41:B55)</f>
        <v>12</v>
      </c>
      <c r="C56" s="85" t="s">
        <v>31</v>
      </c>
      <c r="D56" s="48"/>
    </row>
    <row r="57" spans="1:4" ht="15" thickBot="1" x14ac:dyDescent="0.35">
      <c r="A57" s="49"/>
      <c r="B57" s="49"/>
      <c r="C57" s="49"/>
      <c r="D57" s="49"/>
    </row>
    <row r="58" spans="1:4" ht="18.75" thickBot="1" x14ac:dyDescent="0.3">
      <c r="A58" s="42" t="s">
        <v>14</v>
      </c>
      <c r="B58" s="43">
        <v>4</v>
      </c>
      <c r="C58" s="44" t="s">
        <v>23</v>
      </c>
      <c r="D58" s="53">
        <f>$D$39+7</f>
        <v>45985</v>
      </c>
    </row>
    <row r="59" spans="1:4" ht="27.75" thickBot="1" x14ac:dyDescent="0.3">
      <c r="A59" s="45" t="s">
        <v>3</v>
      </c>
      <c r="B59" s="46" t="s">
        <v>15</v>
      </c>
      <c r="C59" s="45" t="s">
        <v>7</v>
      </c>
      <c r="D59" s="45" t="s">
        <v>13</v>
      </c>
    </row>
    <row r="60" spans="1:4" ht="54" x14ac:dyDescent="0.25">
      <c r="A60" s="5" t="s">
        <v>46</v>
      </c>
      <c r="B60" s="4">
        <v>7</v>
      </c>
      <c r="C60" s="86" t="s">
        <v>48</v>
      </c>
      <c r="D60" s="88"/>
    </row>
    <row r="61" spans="1:4" ht="40.5" x14ac:dyDescent="0.25">
      <c r="A61" s="1" t="s">
        <v>49</v>
      </c>
      <c r="B61" s="2">
        <v>1</v>
      </c>
      <c r="C61" s="87" t="s">
        <v>51</v>
      </c>
      <c r="D61" s="10"/>
    </row>
    <row r="62" spans="1:4" ht="27" x14ac:dyDescent="0.25">
      <c r="A62" s="1" t="s">
        <v>50</v>
      </c>
      <c r="B62" s="2">
        <v>2</v>
      </c>
      <c r="C62" s="87" t="s">
        <v>52</v>
      </c>
      <c r="D62" s="10"/>
    </row>
    <row r="63" spans="1:4" ht="27" x14ac:dyDescent="0.25">
      <c r="A63" s="1" t="s">
        <v>53</v>
      </c>
      <c r="B63" s="2">
        <v>2</v>
      </c>
      <c r="C63" s="87" t="s">
        <v>54</v>
      </c>
      <c r="D63" s="10"/>
    </row>
    <row r="64" spans="1:4" x14ac:dyDescent="0.25">
      <c r="A64" s="1"/>
      <c r="B64" s="2"/>
      <c r="C64" s="87"/>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4.25" thickBot="1" x14ac:dyDescent="0.3">
      <c r="A74" s="3"/>
      <c r="B74" s="3"/>
      <c r="C74" s="11"/>
      <c r="D74" s="11"/>
    </row>
    <row r="75" spans="1:4" ht="14.25" thickBot="1" x14ac:dyDescent="0.3">
      <c r="A75" s="47" t="s">
        <v>22</v>
      </c>
      <c r="B75" s="47">
        <f>SUM(B60:B74)</f>
        <v>12</v>
      </c>
      <c r="C75" s="85" t="s">
        <v>31</v>
      </c>
      <c r="D75" s="48"/>
    </row>
    <row r="76" spans="1:4" ht="15" thickBot="1" x14ac:dyDescent="0.35">
      <c r="A76" s="49"/>
      <c r="B76" s="49"/>
      <c r="C76" s="49"/>
      <c r="D76" s="49"/>
    </row>
    <row r="77" spans="1:4" ht="18.75" thickBot="1" x14ac:dyDescent="0.3">
      <c r="A77" s="42" t="s">
        <v>14</v>
      </c>
      <c r="B77" s="43">
        <v>5</v>
      </c>
      <c r="C77" s="44" t="s">
        <v>23</v>
      </c>
      <c r="D77" s="53">
        <f>$D$58+7</f>
        <v>45992</v>
      </c>
    </row>
    <row r="78" spans="1:4" ht="27.75" thickBot="1" x14ac:dyDescent="0.3">
      <c r="A78" s="45" t="s">
        <v>3</v>
      </c>
      <c r="B78" s="46" t="s">
        <v>15</v>
      </c>
      <c r="C78" s="45" t="s">
        <v>7</v>
      </c>
      <c r="D78" s="45" t="s">
        <v>13</v>
      </c>
    </row>
    <row r="79" spans="1:4" x14ac:dyDescent="0.25">
      <c r="A79" s="5" t="s">
        <v>21</v>
      </c>
      <c r="B79" s="4">
        <v>6</v>
      </c>
      <c r="C79" s="86" t="s">
        <v>55</v>
      </c>
      <c r="D79" s="9"/>
    </row>
    <row r="80" spans="1:4" ht="54" x14ac:dyDescent="0.25">
      <c r="A80" s="1" t="s">
        <v>56</v>
      </c>
      <c r="B80" s="2">
        <v>3</v>
      </c>
      <c r="C80" s="87" t="s">
        <v>57</v>
      </c>
      <c r="D80" s="10"/>
    </row>
    <row r="81" spans="1:4" ht="54" x14ac:dyDescent="0.25">
      <c r="A81" s="1" t="s">
        <v>58</v>
      </c>
      <c r="B81" s="2">
        <v>3</v>
      </c>
      <c r="C81" s="87" t="s">
        <v>60</v>
      </c>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4.25" thickBot="1" x14ac:dyDescent="0.3">
      <c r="A93" s="3"/>
      <c r="B93" s="3"/>
      <c r="C93" s="11"/>
      <c r="D93" s="11"/>
    </row>
    <row r="94" spans="1:4" ht="14.25" thickBot="1" x14ac:dyDescent="0.3">
      <c r="A94" s="47" t="s">
        <v>22</v>
      </c>
      <c r="B94" s="47">
        <f>SUM(B79:B93)</f>
        <v>12</v>
      </c>
      <c r="C94" s="85" t="s">
        <v>31</v>
      </c>
      <c r="D94" s="48"/>
    </row>
    <row r="95" spans="1:4" ht="15" thickBot="1" x14ac:dyDescent="0.35">
      <c r="A95" s="49"/>
      <c r="B95" s="49"/>
      <c r="C95" s="49"/>
      <c r="D95" s="49"/>
    </row>
    <row r="96" spans="1:4" ht="18.75" thickBot="1" x14ac:dyDescent="0.3">
      <c r="A96" s="42" t="s">
        <v>14</v>
      </c>
      <c r="B96" s="43">
        <v>6</v>
      </c>
      <c r="C96" s="44" t="s">
        <v>23</v>
      </c>
      <c r="D96" s="53">
        <f>$D$77+7</f>
        <v>45999</v>
      </c>
    </row>
    <row r="97" spans="1:4" ht="27.75" thickBot="1" x14ac:dyDescent="0.3">
      <c r="A97" s="45" t="s">
        <v>3</v>
      </c>
      <c r="B97" s="46" t="s">
        <v>15</v>
      </c>
      <c r="C97" s="45" t="s">
        <v>7</v>
      </c>
      <c r="D97" s="45" t="s">
        <v>13</v>
      </c>
    </row>
    <row r="98" spans="1:4" x14ac:dyDescent="0.25">
      <c r="A98" s="5" t="s">
        <v>21</v>
      </c>
      <c r="B98" s="4">
        <v>12</v>
      </c>
      <c r="C98" s="86"/>
      <c r="D98" s="89"/>
    </row>
    <row r="99" spans="1:4" x14ac:dyDescent="0.25">
      <c r="A99" s="1"/>
      <c r="B99" s="2"/>
      <c r="C99" s="87"/>
      <c r="D99" s="90"/>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4.25" thickBot="1" x14ac:dyDescent="0.3">
      <c r="A112" s="3"/>
      <c r="B112" s="3"/>
      <c r="C112" s="11"/>
      <c r="D112" s="11"/>
    </row>
    <row r="113" spans="1:4" ht="14.25" thickBot="1" x14ac:dyDescent="0.3">
      <c r="A113" s="47" t="s">
        <v>22</v>
      </c>
      <c r="B113" s="47">
        <f>SUM(B98:B112)</f>
        <v>12</v>
      </c>
      <c r="C113" s="85" t="s">
        <v>31</v>
      </c>
      <c r="D113" s="48"/>
    </row>
    <row r="114" spans="1:4" ht="15" thickBot="1" x14ac:dyDescent="0.35">
      <c r="A114" s="49"/>
      <c r="B114" s="49"/>
      <c r="C114" s="49"/>
      <c r="D114" s="49"/>
    </row>
    <row r="115" spans="1:4" ht="18.75" thickBot="1" x14ac:dyDescent="0.3">
      <c r="A115" s="42" t="s">
        <v>14</v>
      </c>
      <c r="B115" s="43">
        <v>7</v>
      </c>
      <c r="C115" s="44" t="s">
        <v>23</v>
      </c>
      <c r="D115" s="53">
        <f>$D$96+7</f>
        <v>46006</v>
      </c>
    </row>
    <row r="116" spans="1:4" ht="27.75" thickBot="1" x14ac:dyDescent="0.3">
      <c r="A116" s="45" t="s">
        <v>3</v>
      </c>
      <c r="B116" s="46" t="s">
        <v>15</v>
      </c>
      <c r="C116" s="45" t="s">
        <v>7</v>
      </c>
      <c r="D116" s="45" t="s">
        <v>13</v>
      </c>
    </row>
    <row r="117" spans="1:4" ht="40.5" x14ac:dyDescent="0.25">
      <c r="A117" s="5" t="s">
        <v>61</v>
      </c>
      <c r="B117" s="4">
        <v>1</v>
      </c>
      <c r="C117" s="86" t="s">
        <v>64</v>
      </c>
      <c r="D117" s="9"/>
    </row>
    <row r="118" spans="1:4" ht="27" x14ac:dyDescent="0.25">
      <c r="A118" s="1" t="s">
        <v>62</v>
      </c>
      <c r="B118" s="2">
        <v>3</v>
      </c>
      <c r="C118" s="87" t="s">
        <v>65</v>
      </c>
      <c r="D118" s="10"/>
    </row>
    <row r="119" spans="1:4" ht="54" x14ac:dyDescent="0.25">
      <c r="A119" s="1" t="s">
        <v>63</v>
      </c>
      <c r="B119" s="2">
        <v>1</v>
      </c>
      <c r="C119" s="87" t="s">
        <v>66</v>
      </c>
      <c r="D119" s="90"/>
    </row>
    <row r="120" spans="1:4" ht="27" x14ac:dyDescent="0.25">
      <c r="A120" s="1" t="s">
        <v>67</v>
      </c>
      <c r="B120" s="2">
        <v>4</v>
      </c>
      <c r="C120" s="87" t="s">
        <v>68</v>
      </c>
      <c r="D120" s="10"/>
    </row>
    <row r="121" spans="1:4" ht="40.5" x14ac:dyDescent="0.25">
      <c r="A121" s="1" t="s">
        <v>69</v>
      </c>
      <c r="B121" s="2">
        <v>3</v>
      </c>
      <c r="C121" s="87" t="s">
        <v>70</v>
      </c>
      <c r="D121" s="10"/>
    </row>
    <row r="122" spans="1:4" ht="15" x14ac:dyDescent="0.25">
      <c r="A122" s="1"/>
      <c r="B122" s="2"/>
      <c r="C122" s="92" t="s">
        <v>71</v>
      </c>
      <c r="D122" s="10"/>
    </row>
    <row r="123" spans="1:4" x14ac:dyDescent="0.25">
      <c r="A123" s="1"/>
      <c r="B123" s="2"/>
      <c r="C123" s="91" t="s">
        <v>72</v>
      </c>
      <c r="D123" s="10"/>
    </row>
    <row r="124" spans="1:4" ht="27" x14ac:dyDescent="0.25">
      <c r="A124" s="1" t="s">
        <v>76</v>
      </c>
      <c r="B124" s="2">
        <v>2</v>
      </c>
      <c r="C124" s="95" t="s">
        <v>75</v>
      </c>
      <c r="D124" s="10"/>
    </row>
    <row r="125" spans="1:4" ht="40.5" x14ac:dyDescent="0.25">
      <c r="A125" s="1" t="s">
        <v>73</v>
      </c>
      <c r="B125" s="2">
        <v>1</v>
      </c>
      <c r="C125" s="93" t="s">
        <v>74</v>
      </c>
      <c r="D125" s="10"/>
    </row>
    <row r="126" spans="1:4" ht="54.75" thickBot="1" x14ac:dyDescent="0.3">
      <c r="A126" s="2" t="s">
        <v>77</v>
      </c>
      <c r="B126" s="2">
        <v>2</v>
      </c>
      <c r="C126" s="87" t="s">
        <v>81</v>
      </c>
      <c r="D126" s="10"/>
    </row>
    <row r="127" spans="1:4" ht="54" x14ac:dyDescent="0.25">
      <c r="A127" s="2" t="s">
        <v>78</v>
      </c>
      <c r="B127" s="2">
        <v>4</v>
      </c>
      <c r="C127" s="86" t="s">
        <v>79</v>
      </c>
      <c r="D127" s="10"/>
    </row>
    <row r="128" spans="1:4" ht="67.5" x14ac:dyDescent="0.25">
      <c r="A128" s="94" t="s">
        <v>80</v>
      </c>
      <c r="B128" s="2">
        <v>4</v>
      </c>
      <c r="C128" s="87" t="s">
        <v>82</v>
      </c>
      <c r="D128" s="10"/>
    </row>
    <row r="129" spans="1:4" ht="40.5" x14ac:dyDescent="0.25">
      <c r="A129" s="50" t="s">
        <v>83</v>
      </c>
      <c r="B129" s="50">
        <v>1</v>
      </c>
      <c r="C129" s="96" t="s">
        <v>85</v>
      </c>
      <c r="D129" s="51"/>
    </row>
    <row r="130" spans="1:4" ht="40.5" x14ac:dyDescent="0.25">
      <c r="A130" s="50" t="s">
        <v>84</v>
      </c>
      <c r="B130" s="50">
        <v>4</v>
      </c>
      <c r="C130" s="96" t="s">
        <v>87</v>
      </c>
      <c r="D130" s="51"/>
    </row>
    <row r="131" spans="1:4" ht="40.5" x14ac:dyDescent="0.25">
      <c r="A131" s="50" t="s">
        <v>88</v>
      </c>
      <c r="B131" s="50">
        <v>3</v>
      </c>
      <c r="C131" s="96" t="s">
        <v>93</v>
      </c>
      <c r="D131" s="51"/>
    </row>
    <row r="132" spans="1:4" ht="40.5" x14ac:dyDescent="0.25">
      <c r="A132" s="50" t="s">
        <v>89</v>
      </c>
      <c r="B132" s="50">
        <v>3</v>
      </c>
      <c r="C132" s="96" t="s">
        <v>94</v>
      </c>
      <c r="D132" s="51"/>
    </row>
    <row r="133" spans="1:4" ht="40.5" x14ac:dyDescent="0.25">
      <c r="A133" s="50" t="s">
        <v>90</v>
      </c>
      <c r="B133" s="50">
        <v>4</v>
      </c>
      <c r="C133" s="96" t="s">
        <v>95</v>
      </c>
      <c r="D133" s="51"/>
    </row>
    <row r="134" spans="1:4" ht="40.5" x14ac:dyDescent="0.25">
      <c r="A134" s="50" t="s">
        <v>91</v>
      </c>
      <c r="B134" s="50">
        <v>2</v>
      </c>
      <c r="C134" s="96" t="s">
        <v>96</v>
      </c>
      <c r="D134" s="51"/>
    </row>
    <row r="135" spans="1:4" ht="41.25" thickBot="1" x14ac:dyDescent="0.3">
      <c r="A135" s="3" t="s">
        <v>92</v>
      </c>
      <c r="B135" s="3">
        <v>5</v>
      </c>
      <c r="C135" s="97" t="s">
        <v>97</v>
      </c>
      <c r="D135" s="11"/>
    </row>
    <row r="136" spans="1:4" ht="14.25" thickBot="1" x14ac:dyDescent="0.3">
      <c r="A136" s="3"/>
      <c r="B136" s="3"/>
      <c r="C136" s="98" t="s">
        <v>99</v>
      </c>
      <c r="D136" s="11"/>
    </row>
    <row r="137" spans="1:4" ht="54.75" thickBot="1" x14ac:dyDescent="0.3">
      <c r="A137" s="3" t="s">
        <v>98</v>
      </c>
      <c r="B137" s="3">
        <v>6</v>
      </c>
      <c r="C137" s="97" t="s">
        <v>100</v>
      </c>
      <c r="D137" s="11"/>
    </row>
    <row r="138" spans="1:4" ht="108.75" thickBot="1" x14ac:dyDescent="0.3">
      <c r="A138" s="3" t="s">
        <v>101</v>
      </c>
      <c r="B138" s="3">
        <v>8</v>
      </c>
      <c r="C138" s="97" t="s">
        <v>102</v>
      </c>
      <c r="D138" s="11"/>
    </row>
    <row r="139" spans="1:4" ht="41.25" thickBot="1" x14ac:dyDescent="0.3">
      <c r="A139" s="3" t="s">
        <v>103</v>
      </c>
      <c r="B139" s="3">
        <v>3</v>
      </c>
      <c r="C139" s="99" t="s">
        <v>104</v>
      </c>
      <c r="D139" s="11"/>
    </row>
    <row r="140" spans="1:4" ht="27.75" thickBot="1" x14ac:dyDescent="0.3">
      <c r="A140" s="3" t="s">
        <v>105</v>
      </c>
      <c r="B140" s="3">
        <v>1</v>
      </c>
      <c r="C140" s="99" t="s">
        <v>106</v>
      </c>
      <c r="D140" s="11"/>
    </row>
    <row r="141" spans="1:4" ht="14.25" thickBot="1" x14ac:dyDescent="0.3">
      <c r="A141" s="3"/>
      <c r="B141" s="3"/>
      <c r="C141" s="97"/>
      <c r="D141" s="11"/>
    </row>
    <row r="142" spans="1:4" ht="14.25" thickBot="1" x14ac:dyDescent="0.3">
      <c r="A142" s="3"/>
      <c r="B142" s="3"/>
      <c r="C142" s="97"/>
      <c r="D142" s="11"/>
    </row>
    <row r="143" spans="1:4" ht="14.25" thickBot="1" x14ac:dyDescent="0.3">
      <c r="A143" s="3"/>
      <c r="B143" s="3"/>
      <c r="C143" s="97"/>
      <c r="D143" s="11"/>
    </row>
    <row r="144" spans="1:4" ht="14.25" thickBot="1" x14ac:dyDescent="0.3">
      <c r="A144" s="3"/>
      <c r="B144" s="3"/>
      <c r="C144" s="97"/>
      <c r="D144" s="11"/>
    </row>
    <row r="145" spans="1:4" ht="14.25" thickBot="1" x14ac:dyDescent="0.3">
      <c r="A145" s="47" t="s">
        <v>22</v>
      </c>
      <c r="B145" s="47">
        <f>SUM(B117:B144)</f>
        <v>65</v>
      </c>
      <c r="C145" s="85" t="s">
        <v>31</v>
      </c>
      <c r="D145" s="48"/>
    </row>
    <row r="146" spans="1:4" ht="15" thickBot="1" x14ac:dyDescent="0.35">
      <c r="A146" s="49"/>
      <c r="B146" s="49"/>
      <c r="C146" s="49"/>
      <c r="D146" s="49"/>
    </row>
    <row r="147" spans="1:4" ht="18.75" thickBot="1" x14ac:dyDescent="0.3">
      <c r="A147" s="42" t="s">
        <v>14</v>
      </c>
      <c r="B147" s="43">
        <v>8</v>
      </c>
      <c r="C147" s="44" t="s">
        <v>23</v>
      </c>
      <c r="D147" s="53">
        <f>$D$115+21</f>
        <v>46027</v>
      </c>
    </row>
    <row r="148" spans="1:4" ht="27.75" thickBot="1" x14ac:dyDescent="0.3">
      <c r="A148" s="45" t="s">
        <v>3</v>
      </c>
      <c r="B148" s="46" t="s">
        <v>15</v>
      </c>
      <c r="C148" s="45" t="s">
        <v>7</v>
      </c>
      <c r="D148" s="45" t="s">
        <v>13</v>
      </c>
    </row>
    <row r="149" spans="1:4" ht="54" x14ac:dyDescent="0.25">
      <c r="A149" s="5" t="s">
        <v>107</v>
      </c>
      <c r="B149" s="4">
        <v>4</v>
      </c>
      <c r="C149" s="104" t="s">
        <v>109</v>
      </c>
      <c r="D149" s="9"/>
    </row>
    <row r="150" spans="1:4" x14ac:dyDescent="0.25">
      <c r="A150" s="1"/>
      <c r="B150" s="2"/>
      <c r="C150" s="87" t="s">
        <v>110</v>
      </c>
      <c r="D150" s="10"/>
    </row>
    <row r="151" spans="1:4" x14ac:dyDescent="0.25">
      <c r="A151" s="1"/>
      <c r="B151" s="2"/>
      <c r="C151" s="10"/>
      <c r="D151" s="10"/>
    </row>
    <row r="152" spans="1:4" x14ac:dyDescent="0.25">
      <c r="A152" s="1"/>
      <c r="B152" s="2"/>
      <c r="C152" s="10"/>
      <c r="D152" s="10"/>
    </row>
    <row r="153" spans="1:4" x14ac:dyDescent="0.25">
      <c r="A153" s="1"/>
      <c r="B153" s="2"/>
      <c r="C153" s="10"/>
      <c r="D153" s="10"/>
    </row>
    <row r="154" spans="1:4" x14ac:dyDescent="0.25">
      <c r="A154" s="1"/>
      <c r="B154" s="2"/>
      <c r="C154" s="10"/>
      <c r="D154" s="10"/>
    </row>
    <row r="155" spans="1:4" x14ac:dyDescent="0.25">
      <c r="A155" s="1"/>
      <c r="B155" s="2"/>
      <c r="C155" s="10"/>
      <c r="D155" s="10"/>
    </row>
    <row r="156" spans="1:4" x14ac:dyDescent="0.25">
      <c r="A156" s="1"/>
      <c r="B156" s="2"/>
      <c r="C156" s="10"/>
      <c r="D156" s="10"/>
    </row>
    <row r="157" spans="1:4" x14ac:dyDescent="0.25">
      <c r="A157" s="1"/>
      <c r="B157" s="2"/>
      <c r="C157" s="10"/>
      <c r="D157" s="10"/>
    </row>
    <row r="158" spans="1:4" x14ac:dyDescent="0.25">
      <c r="A158" s="2"/>
      <c r="B158" s="2"/>
      <c r="C158" s="10"/>
      <c r="D158" s="10"/>
    </row>
    <row r="159" spans="1:4" x14ac:dyDescent="0.25">
      <c r="A159" s="2"/>
      <c r="B159" s="2"/>
      <c r="C159" s="10"/>
      <c r="D159" s="10"/>
    </row>
    <row r="160" spans="1:4" x14ac:dyDescent="0.25">
      <c r="A160" s="2"/>
      <c r="B160" s="2"/>
      <c r="C160" s="10"/>
      <c r="D160" s="10"/>
    </row>
    <row r="161" spans="1:4" x14ac:dyDescent="0.25">
      <c r="A161" s="50"/>
      <c r="B161" s="50"/>
      <c r="C161" s="51"/>
      <c r="D161" s="51"/>
    </row>
    <row r="162" spans="1:4" x14ac:dyDescent="0.25">
      <c r="A162" s="50"/>
      <c r="B162" s="50"/>
      <c r="C162" s="51"/>
      <c r="D162" s="51"/>
    </row>
    <row r="163" spans="1:4" ht="14.25" thickBot="1" x14ac:dyDescent="0.3">
      <c r="A163" s="3"/>
      <c r="B163" s="3"/>
      <c r="C163" s="11"/>
      <c r="D163" s="11"/>
    </row>
    <row r="164" spans="1:4" ht="14.25" thickBot="1" x14ac:dyDescent="0.3">
      <c r="A164" s="47" t="s">
        <v>22</v>
      </c>
      <c r="B164" s="47">
        <f>SUM(B149:B163)</f>
        <v>4</v>
      </c>
      <c r="C164" s="85" t="s">
        <v>31</v>
      </c>
      <c r="D164" s="48"/>
    </row>
    <row r="165" spans="1:4" ht="14.25" x14ac:dyDescent="0.3">
      <c r="A165" s="49"/>
      <c r="B165" s="49"/>
      <c r="C165" s="49"/>
      <c r="D165" s="49"/>
    </row>
    <row r="166" spans="1:4" x14ac:dyDescent="0.25">
      <c r="A166" s="84"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149:B163 B98:B112 B79:B93 B117:B144"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45 B164" xr:uid="{C02FA86D-12F2-40ED-8F5D-F7684A1E2EDD}">
      <formula1>0</formula1>
      <formula2>NbPerWeek * NbQuartPer</formula2>
    </dataValidation>
    <dataValidation type="list" allowBlank="1" showInputMessage="1" showErrorMessage="1" sqref="A3:A17 A22:A36 A41:A55 A60:A74 A149:A163 A98:A112 A79:A93 A117:A144"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2026-01-05T08:10:12Z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