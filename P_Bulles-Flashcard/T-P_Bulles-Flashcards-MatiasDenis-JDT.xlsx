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C:\Users\pb58unc\Desktop\P_Bulles-Flashcards\P_Bulles-Flashcard\"/>
    </mc:Choice>
  </mc:AlternateContent>
  <xr:revisionPtr revIDLastSave="0" documentId="13_ncr:1_{FDFFD641-51DD-4307-9176-CD650306214A}" xr6:coauthVersionLast="47" xr6:coauthVersionMax="47" xr10:uidLastSave="{00000000-0000-0000-0000-000000000000}"/>
  <bookViews>
    <workbookView xWindow="28680" yWindow="-225"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39" i="156" s="1"/>
  <c r="D58" i="156" s="1"/>
  <c r="D77" i="156" s="1"/>
  <c r="D96" i="156" s="1"/>
  <c r="D115" i="156" s="1"/>
  <c r="D134" i="156" s="1"/>
  <c r="B151" i="156"/>
  <c r="B132" i="156"/>
  <c r="B113" i="156"/>
  <c r="B94" i="156"/>
  <c r="B75" i="156"/>
  <c r="B56" i="156"/>
  <c r="B37" i="156"/>
  <c r="B18" i="156"/>
  <c r="B18" i="154" l="1"/>
  <c r="B13" i="11" l="1"/>
</calcChain>
</file>

<file path=xl/sharedStrings.xml><?xml version="1.0" encoding="utf-8"?>
<sst xmlns="http://schemas.openxmlformats.org/spreadsheetml/2006/main" count="146" uniqueCount="61">
  <si>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</si>
  <si>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</si>
  <si>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</si>
  <si>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</si>
  <si>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</si>
  <si>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</si>
  <si>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</si>
  <si>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</si>
  <si>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</si>
  <si>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</si>
  <si>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</si>
  <si>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</si>
  <si>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</si>
  <si>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</si>
  <si>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</si>
  <si>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</si>
  <si>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</si>
  <si>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</si>
  <si>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</si>
  <si>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</si>
  <si>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</si>
  <si>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</si>
  <si>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</si>
  <si>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</si>
  <si>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</si>
  <si>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</si>
  <si>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</si>
  <si>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</si>
  <si>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STOP</t>
  </si>
  <si>
    <t>Explications du projet par Monsieur Charmier</t>
  </si>
  <si>
    <t>Prise de connaissance du cahier des charges</t>
  </si>
  <si>
    <t>Max. 12</t>
  </si>
  <si>
    <t>Maladie.</t>
  </si>
  <si>
    <t>Monsieur Charmier a montré le code du projet ainsi que le partie view et a expliqué dans les grandes lignes ce qu'il allait être demandé.</t>
  </si>
  <si>
    <t>Lecture et prise de connaissance de tous les aspects demandés pour ce projet.</t>
  </si>
  <si>
    <t>Création d'un layout, composant layout et partials</t>
  </si>
  <si>
    <t>Création des migrations et des modèles</t>
  </si>
  <si>
    <t>Création d'un contrôleur et d'une route</t>
  </si>
  <si>
    <t>Création d'un layout permettant d'appeler le css et les partials (header, footer) et d'être appelé dans la vue home.Step 2.</t>
  </si>
  <si>
    <t>Création des migrations pour gérer les schémas de la base de données. Création des modèles pour gérer les interactions avec les données. Step 3.</t>
  </si>
  <si>
    <t>Création d'un contrôleur et de la méthode index pour récupérer les données. Création d'une route qui permettra de gérer les requêtes. Step 4.</t>
  </si>
  <si>
    <t>Création du repository GitHub</t>
  </si>
  <si>
    <t>Création d'un repo github afin de pouvoir voir les avancées du projet.</t>
  </si>
  <si>
    <t>Avancées dans les steps 4 à 11</t>
  </si>
  <si>
    <t>Création de l'infrastructure de base sur l'application test grâce aux steps 0 et 1.</t>
  </si>
  <si>
    <t xml:space="preserve">Sans trop entrer dans le détail, ont été suivis les steps depuis la fin du 4 jusqu'à la fin du 11. Ce qui a été créé, entre autres: step5: création d'un jeu de données avec seeder et factory, step6: afficher les détails des enseignants avec route, méthodes dans le contrôleur, ajout d'une vue, step 7: suppression d'un enseignant, création d'une route, ajout d'une méthode au contrôleur, step8: ajout d'un enseignant, création de deux routes (une pour afficher le formulaire pour les informations de l'enseignant, une pour gérer l'ajout de l'enseignant), ajout d'un validateur, des méthodes au contrôleur, ajout d'une vue, step 9:  ajout d'un enseignant, création de deux routes (une pour afficher le formulaire pour les informations de l'enseignant, une pour gérer l'ajout de l'enseignant), ajout d'un validateur, des méthodes au contrôleur, step 10: mise en place de l'authentification, mise à jour de la table t_user, création de migration user, seeder, step 11: mise en place du login, nouvelle route, </t>
  </si>
  <si>
    <t>Finalisation des step 11 à 13</t>
  </si>
  <si>
    <t>Création de l'infrastructure de l'application test</t>
  </si>
  <si>
    <t>création d'un nouveau contrôleur et méthode, création d'un validateur pour finaliser le step 11, step 12: mise en place du logout, nouvelle route, nouvelle méthode AuthControlleur, step 13: gestion des rôles, utilisation des middlewares (un pour partager l'état de l'authentification, un pour vérifier le rôle)</t>
  </si>
  <si>
    <t>Création de l'infrastructure du projet Flashcards</t>
  </si>
  <si>
    <t>Création d'un MCD-MLD</t>
  </si>
  <si>
    <t xml:space="preserve">Création du projet à l'aide de la commande npm init adonisjs@latest app-flashcards-adonisjs -- --db=mysql afin d'avoir l'infrastructure demandée. </t>
  </si>
  <si>
    <t>Création des trois entités Utilisateur-Deck-Flashcards avec leurs attributs et les cardinalités entre elles afin d'avoir la logique sous les yeux.</t>
  </si>
  <si>
    <t>Changement HTML-CSS</t>
  </si>
  <si>
    <t>Remplacement du HTML/CSS existants dans le projet par le statique afin de recommencer comme dans les steps.</t>
  </si>
  <si>
    <t>Rendez-vous chez le médecin.</t>
  </si>
  <si>
    <t>Création de l'architecture des dossiers des pages</t>
  </si>
  <si>
    <r>
      <t xml:space="preserve">Création d'un dossier </t>
    </r>
    <r>
      <rPr>
        <i/>
        <sz val="10"/>
        <rFont val="Century Gothic"/>
        <family val="2"/>
        <scheme val="minor"/>
      </rPr>
      <t xml:space="preserve">components </t>
    </r>
    <r>
      <rPr>
        <sz val="10"/>
        <rFont val="Century Gothic"/>
        <family val="2"/>
        <scheme val="minor"/>
      </rPr>
      <t xml:space="preserve">qui contient la page </t>
    </r>
    <r>
      <rPr>
        <i/>
        <sz val="10"/>
        <rFont val="Century Gothic"/>
        <family val="2"/>
        <scheme val="minor"/>
      </rPr>
      <t xml:space="preserve">layout.edge, </t>
    </r>
    <r>
      <rPr>
        <sz val="10"/>
        <rFont val="Century Gothic"/>
        <family val="2"/>
        <scheme val="minor"/>
      </rPr>
      <t xml:space="preserve">création d'un dossier </t>
    </r>
    <r>
      <rPr>
        <i/>
        <sz val="10"/>
        <rFont val="Century Gothic"/>
        <family val="2"/>
        <scheme val="minor"/>
      </rPr>
      <t xml:space="preserve">partials </t>
    </r>
    <r>
      <rPr>
        <sz val="10"/>
        <rFont val="Century Gothic"/>
        <family val="2"/>
        <scheme val="minor"/>
      </rPr>
      <t xml:space="preserve">qui contient </t>
    </r>
    <r>
      <rPr>
        <i/>
        <sz val="10"/>
        <rFont val="Century Gothic"/>
        <family val="2"/>
        <scheme val="minor"/>
      </rPr>
      <t>header.edge</t>
    </r>
    <r>
      <rPr>
        <sz val="10"/>
        <rFont val="Century Gothic"/>
        <family val="2"/>
        <scheme val="minor"/>
      </rPr>
      <t xml:space="preserve"> et </t>
    </r>
    <r>
      <rPr>
        <i/>
        <sz val="10"/>
        <rFont val="Century Gothic"/>
        <family val="2"/>
        <scheme val="minor"/>
      </rPr>
      <t>footer.edge. Adaptation de la page home.edge</t>
    </r>
    <r>
      <rPr>
        <sz val="10"/>
        <rFont val="Century Gothic"/>
        <family val="2"/>
        <scheme val="minor"/>
      </rPr>
      <t xml:space="preserve">. </t>
    </r>
    <r>
      <rPr>
        <i/>
        <sz val="10"/>
        <rFont val="Century Gothic"/>
        <family val="2"/>
        <scheme val="minor"/>
      </rPr>
      <t>Le code de ces différentes pages se trouve dans les PDF, step 1 et 2.</t>
    </r>
    <r>
      <rPr>
        <sz val="10"/>
        <rFont val="Century Gothic"/>
        <family val="2"/>
        <scheme val="minor"/>
      </rPr>
      <t xml:space="preserve"> Il a été adapté pour l'application Flashcards depuis l'application test.</t>
    </r>
  </si>
  <si>
    <t>Création des migrations pour t_deck et t_flashcards et code</t>
  </si>
  <si>
    <t>Création des modèles et migrations pour t_deck et t_flashcards et code</t>
  </si>
  <si>
    <t>A compléter.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</si>
</sst>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8"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
      <i/>
      <sz val="1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0">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1.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54"/>
  <sheetViews>
    <sheetView view="pageBreakPreview" topLeftCell="A15" zoomScaleNormal="100" zoomScaleSheetLayoutView="100" workbookViewId="0">
      <selection activeCell="C37" sqref="C37"/>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46027</v>
      </c>
      <c r="D10" s="59"/>
      <c r="E10" s="59"/>
      <c r="F10" s="59"/>
      <c r="G10" s="60"/>
    </row>
    <row r="11" spans="1:7" ht="20.25" x14ac:dyDescent="0.25">
      <c r="A11" s="58"/>
      <c r="B11" s="68" t="s">
        <v>10</v>
      </c>
      <c r="C11" s="70">
        <v>8</v>
      </c>
      <c r="D11" s="59"/>
      <c r="E11" s="59"/>
      <c r="F11" s="59"/>
      <c r="G11" s="60"/>
    </row>
    <row r="12" spans="1:7" ht="20.25" x14ac:dyDescent="0.25">
      <c r="A12" s="58"/>
      <c r="B12" s="63" t="s">
        <v>11</v>
      </c>
      <c r="C12" s="71">
        <v>4</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96" t="s">
        <v>19</v>
      </c>
      <c r="C19" s="97"/>
      <c r="D19" s="59"/>
      <c r="E19" s="59"/>
      <c r="F19" s="59"/>
      <c r="G19" s="60"/>
    </row>
    <row r="20" spans="1:7" ht="20.25" x14ac:dyDescent="0.25">
      <c r="A20" s="78"/>
      <c r="B20" s="79" t="s">
        <v>20</v>
      </c>
      <c r="C20" s="80" t="s">
        <v>21</v>
      </c>
      <c r="D20" s="59"/>
      <c r="E20" s="59"/>
      <c r="F20" s="59"/>
      <c r="G20" s="60"/>
    </row>
    <row r="21" spans="1:7" ht="20.25" x14ac:dyDescent="0.25">
      <c r="A21" s="78"/>
      <c r="B21" s="79">
        <v>1</v>
      </c>
      <c r="C21" s="69" t="s">
        <v>29</v>
      </c>
      <c r="D21" s="59"/>
      <c r="E21" s="59"/>
      <c r="F21" s="59"/>
      <c r="G21" s="60"/>
    </row>
    <row r="22" spans="1:7" ht="20.25" x14ac:dyDescent="0.25">
      <c r="A22" s="78"/>
      <c r="B22" s="79">
        <v>2</v>
      </c>
      <c r="C22" s="70" t="s">
        <v>30</v>
      </c>
      <c r="D22" s="59"/>
      <c r="E22" s="59"/>
      <c r="F22" s="59"/>
      <c r="G22" s="60"/>
    </row>
    <row r="23" spans="1:7" ht="20.25" x14ac:dyDescent="0.25">
      <c r="A23" s="78"/>
      <c r="B23" s="81">
        <v>3</v>
      </c>
      <c r="C23" s="70" t="s">
        <v>47</v>
      </c>
      <c r="D23" s="59"/>
      <c r="E23" s="59"/>
      <c r="F23" s="59"/>
      <c r="G23" s="60"/>
    </row>
    <row r="24" spans="1:7" ht="20.25" x14ac:dyDescent="0.25">
      <c r="A24" s="78"/>
      <c r="B24" s="79">
        <v>4</v>
      </c>
      <c r="C24" s="70" t="s">
        <v>35</v>
      </c>
      <c r="D24" s="59"/>
      <c r="E24" s="59"/>
      <c r="F24" s="59"/>
      <c r="G24" s="60"/>
    </row>
    <row r="25" spans="1:7" ht="20.25" x14ac:dyDescent="0.25">
      <c r="A25" s="78"/>
      <c r="B25" s="79">
        <v>5</v>
      </c>
      <c r="C25" s="70" t="s">
        <v>36</v>
      </c>
      <c r="D25" s="59"/>
      <c r="E25" s="59"/>
      <c r="F25" s="59"/>
      <c r="G25" s="60"/>
    </row>
    <row r="26" spans="1:7" ht="20.25" x14ac:dyDescent="0.25">
      <c r="A26" s="78"/>
      <c r="B26" s="81">
        <v>6</v>
      </c>
      <c r="C26" s="70" t="s">
        <v>37</v>
      </c>
      <c r="D26" s="59"/>
      <c r="E26" s="59"/>
      <c r="F26" s="59"/>
      <c r="G26" s="60"/>
    </row>
    <row r="27" spans="1:7" ht="20.25" x14ac:dyDescent="0.25">
      <c r="A27" s="78"/>
      <c r="B27" s="79">
        <v>7</v>
      </c>
      <c r="C27" s="70" t="s">
        <v>41</v>
      </c>
      <c r="D27" s="59"/>
      <c r="E27" s="59"/>
      <c r="F27" s="59"/>
      <c r="G27" s="60"/>
    </row>
    <row r="28" spans="1:7" ht="20.25" x14ac:dyDescent="0.25">
      <c r="A28" s="78"/>
      <c r="B28" s="79">
        <v>8</v>
      </c>
      <c r="C28" s="71" t="s">
        <v>43</v>
      </c>
      <c r="D28" s="59"/>
      <c r="E28" s="59"/>
      <c r="F28" s="59"/>
      <c r="G28" s="60"/>
    </row>
    <row r="29" spans="1:7" ht="20.25" x14ac:dyDescent="0.25">
      <c r="A29" s="78"/>
      <c r="B29" s="81">
        <v>9</v>
      </c>
      <c r="C29" s="71" t="s">
        <v>46</v>
      </c>
      <c r="D29" s="59"/>
      <c r="E29" s="59"/>
      <c r="F29" s="59"/>
      <c r="G29" s="60"/>
    </row>
    <row r="30" spans="1:7" ht="20.25" x14ac:dyDescent="0.25">
      <c r="A30" s="78"/>
      <c r="B30" s="79">
        <v>10</v>
      </c>
      <c r="C30" s="70" t="s">
        <v>49</v>
      </c>
      <c r="D30" s="59"/>
      <c r="E30" s="59"/>
      <c r="F30" s="59"/>
      <c r="G30" s="60"/>
    </row>
    <row r="31" spans="1:7" ht="20.25" x14ac:dyDescent="0.25">
      <c r="A31" s="78"/>
      <c r="B31" s="79">
        <v>11</v>
      </c>
      <c r="C31" s="70" t="s">
        <v>50</v>
      </c>
      <c r="D31" s="59"/>
      <c r="E31" s="59"/>
      <c r="F31" s="59"/>
      <c r="G31" s="60"/>
    </row>
    <row r="32" spans="1:7" ht="20.25" x14ac:dyDescent="0.25">
      <c r="A32" s="78"/>
      <c r="B32" s="81">
        <v>12</v>
      </c>
      <c r="C32" s="70" t="s">
        <v>53</v>
      </c>
      <c r="D32" s="59"/>
      <c r="E32" s="59"/>
      <c r="F32" s="59"/>
      <c r="G32" s="60"/>
    </row>
    <row r="33" spans="1:7" ht="20.25" x14ac:dyDescent="0.25">
      <c r="A33" s="78"/>
      <c r="B33" s="79">
        <v>13</v>
      </c>
      <c r="C33" s="70" t="s">
        <v>56</v>
      </c>
      <c r="D33" s="59"/>
      <c r="E33" s="59"/>
      <c r="F33" s="59"/>
      <c r="G33" s="60"/>
    </row>
    <row r="34" spans="1:7" ht="20.25" x14ac:dyDescent="0.25">
      <c r="A34" s="78"/>
      <c r="B34" s="79">
        <v>14</v>
      </c>
      <c r="C34" s="71" t="s">
        <v>59</v>
      </c>
      <c r="D34" s="59"/>
      <c r="E34" s="59"/>
      <c r="F34" s="59"/>
      <c r="G34" s="60"/>
    </row>
    <row r="35" spans="1:7" ht="20.25" x14ac:dyDescent="0.25">
      <c r="A35" s="78"/>
      <c r="B35" s="81">
        <v>15</v>
      </c>
      <c r="C35" s="71"/>
      <c r="D35" s="59"/>
      <c r="E35" s="59"/>
      <c r="F35" s="59"/>
      <c r="G35" s="60"/>
    </row>
    <row r="36" spans="1:7" ht="20.25" x14ac:dyDescent="0.25">
      <c r="A36" s="78"/>
      <c r="B36" s="79">
        <v>16</v>
      </c>
      <c r="C36" s="70"/>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2"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4" r:id="rId5" name="btnCreatePlanning">
          <controlPr defaultSize="0" autoLine="0" r:id="rId6">
            <anchor moveWithCells="1">
              <from>
                <xdr:col>4</xdr:col>
                <xdr:colOff>9525</xdr:colOff>
                <xdr:row>5</xdr:row>
                <xdr:rowOff>9525</xdr:rowOff>
              </from>
              <to>
                <xdr:col>6</xdr:col>
                <xdr:colOff>95250</xdr:colOff>
                <xdr:row>7</xdr:row>
                <xdr:rowOff>47625</xdr:rowOff>
              </to>
            </anchor>
          </controlPr>
        </control>
      </mc:Choice>
      <mc:Fallback>
        <control shapeId="15364" r:id="rId5" name="btnCreatePlanning"/>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5" r:id="rId9" name="btnCreateWorkSheet">
          <controlPr defaultSize="0" autoLine="0" r:id="rId10">
            <anchor moveWithCells="1">
              <from>
                <xdr:col>4</xdr:col>
                <xdr:colOff>9525</xdr:colOff>
                <xdr:row>8</xdr:row>
                <xdr:rowOff>190500</xdr:rowOff>
              </from>
              <to>
                <xdr:col>6</xdr:col>
                <xdr:colOff>114300</xdr:colOff>
                <xdr:row>10</xdr:row>
                <xdr:rowOff>152400</xdr:rowOff>
              </to>
            </anchor>
          </controlPr>
        </control>
      </mc:Choice>
      <mc:Fallback>
        <control shapeId="15365" r:id="rId9" name="btnCreateWorkSheet"/>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98" t="s">
        <v>21</v>
      </c>
      <c r="C3" s="16">
        <v>0</v>
      </c>
    </row>
    <row r="4" spans="1:4" ht="19.5" customHeight="1" x14ac:dyDescent="0.25">
      <c r="A4" s="19"/>
      <c r="B4" s="99"/>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53"/>
  <sheetViews>
    <sheetView tabSelected="1" topLeftCell="A73" workbookViewId="0">
      <selection activeCell="C81" sqref="C8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45" t="s">
        <v>3</v>
      </c>
      <c r="B2" s="46" t="s">
        <v>15</v>
      </c>
      <c r="C2" s="45" t="s">
        <v>7</v>
      </c>
      <c r="D2" s="45" t="s">
        <v>13</v>
      </c>
    </row>
    <row r="3" spans="1:4" s="52" customFormat="1" x14ac:dyDescent="0.25">
      <c r="A3" s="5" t="s">
        <v>21</v>
      </c>
      <c r="B3" s="4">
        <v>12</v>
      </c>
      <c r="C3" s="88" t="s">
        <v>32</v>
      </c>
      <c r="D3" s="9"/>
    </row>
    <row r="4" spans="1:4" s="52" customFormat="1" x14ac:dyDescent="0.25">
      <c r="A4" s="1"/>
      <c r="B4" s="2"/>
      <c r="C4" s="89"/>
      <c r="D4" s="10"/>
    </row>
    <row r="5" spans="1:4" s="52" customFormat="1" x14ac:dyDescent="0.25">
      <c r="A5" s="1"/>
      <c r="B5" s="2"/>
      <c r="C5" s="89"/>
      <c r="D5" s="93"/>
    </row>
    <row r="6" spans="1:4" s="52" customFormat="1" x14ac:dyDescent="0.25">
      <c r="A6" s="1"/>
      <c r="B6" s="2"/>
      <c r="C6" s="89"/>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12</v>
      </c>
      <c r="C18" s="87" t="s">
        <v>31</v>
      </c>
      <c r="D18" s="48"/>
    </row>
    <row r="19" spans="1:8" ht="15" thickBot="1" x14ac:dyDescent="0.35">
      <c r="A19" s="49"/>
      <c r="B19" s="49"/>
      <c r="C19" s="49"/>
      <c r="D19" s="49"/>
    </row>
    <row r="20" spans="1:8" ht="18.75" thickBot="1" x14ac:dyDescent="0.3">
      <c r="A20" s="42" t="s">
        <v>14</v>
      </c>
      <c r="B20" s="43">
        <v>2</v>
      </c>
      <c r="C20" s="44" t="s">
        <v>23</v>
      </c>
      <c r="D20" s="53">
        <f>$D$1+7</f>
        <v>45971</v>
      </c>
    </row>
    <row r="21" spans="1:8" ht="27.75" thickBot="1" x14ac:dyDescent="0.3">
      <c r="A21" s="45" t="s">
        <v>3</v>
      </c>
      <c r="B21" s="46" t="s">
        <v>15</v>
      </c>
      <c r="C21" s="45" t="s">
        <v>7</v>
      </c>
      <c r="D21" s="45" t="s">
        <v>13</v>
      </c>
    </row>
    <row r="22" spans="1:8" ht="40.5" x14ac:dyDescent="0.25">
      <c r="A22" s="5" t="s">
        <v>29</v>
      </c>
      <c r="B22" s="4">
        <v>2</v>
      </c>
      <c r="C22" s="88" t="s">
        <v>33</v>
      </c>
      <c r="D22" s="9"/>
    </row>
    <row r="23" spans="1:8" ht="40.5" x14ac:dyDescent="0.25">
      <c r="A23" s="1" t="s">
        <v>30</v>
      </c>
      <c r="B23" s="2">
        <v>1</v>
      </c>
      <c r="C23" s="89" t="s">
        <v>34</v>
      </c>
      <c r="D23" s="10"/>
    </row>
    <row r="24" spans="1:8" ht="40.5" x14ac:dyDescent="0.25">
      <c r="A24" s="1" t="s">
        <v>47</v>
      </c>
      <c r="B24" s="2">
        <v>3</v>
      </c>
      <c r="C24" s="95" t="s">
        <v>44</v>
      </c>
      <c r="D24" s="10"/>
    </row>
    <row r="25" spans="1:8" ht="46.5" customHeight="1" x14ac:dyDescent="0.25">
      <c r="A25" s="1" t="s">
        <v>35</v>
      </c>
      <c r="B25" s="2">
        <v>3</v>
      </c>
      <c r="C25" s="95" t="s">
        <v>38</v>
      </c>
      <c r="D25" s="10"/>
      <c r="F25" s="31"/>
      <c r="G25" s="32"/>
      <c r="H25" s="33"/>
    </row>
    <row r="26" spans="1:8" ht="40.5" x14ac:dyDescent="0.25">
      <c r="A26" s="1" t="s">
        <v>36</v>
      </c>
      <c r="B26" s="2">
        <v>1</v>
      </c>
      <c r="C26" s="95" t="s">
        <v>39</v>
      </c>
      <c r="D26" s="10"/>
      <c r="F26" s="34"/>
      <c r="G26" s="30"/>
      <c r="H26" s="30"/>
    </row>
    <row r="27" spans="1:8" ht="40.5" x14ac:dyDescent="0.25">
      <c r="A27" s="1" t="s">
        <v>37</v>
      </c>
      <c r="B27" s="2">
        <v>2</v>
      </c>
      <c r="C27" s="95" t="s">
        <v>40</v>
      </c>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50"/>
      <c r="B34" s="50"/>
      <c r="C34" s="51"/>
      <c r="D34" s="51"/>
      <c r="F34" s="36"/>
      <c r="G34" s="37"/>
      <c r="H34" s="37"/>
    </row>
    <row r="35" spans="1:8" x14ac:dyDescent="0.25">
      <c r="A35" s="50"/>
      <c r="B35" s="50"/>
      <c r="C35" s="51"/>
      <c r="D35" s="51"/>
      <c r="F35" s="38"/>
      <c r="G35" s="39"/>
      <c r="H35" s="39"/>
    </row>
    <row r="36" spans="1:8" ht="15" thickBot="1" x14ac:dyDescent="0.35">
      <c r="A36" s="3"/>
      <c r="B36" s="3"/>
      <c r="C36" s="11"/>
      <c r="D36" s="11"/>
      <c r="F36" s="40"/>
      <c r="G36" s="40"/>
      <c r="H36" s="40"/>
    </row>
    <row r="37" spans="1:8" ht="14.25" thickBot="1" x14ac:dyDescent="0.3">
      <c r="A37" s="47" t="s">
        <v>22</v>
      </c>
      <c r="B37" s="47">
        <f>SUM(B22:B36)</f>
        <v>12</v>
      </c>
      <c r="C37" s="87" t="s">
        <v>31</v>
      </c>
      <c r="D37" s="48"/>
    </row>
    <row r="38" spans="1:8" ht="15" thickBot="1" x14ac:dyDescent="0.35">
      <c r="A38" s="49"/>
      <c r="B38" s="49"/>
      <c r="C38" s="49"/>
      <c r="D38" s="49"/>
    </row>
    <row r="39" spans="1:8" ht="18.75" thickBot="1" x14ac:dyDescent="0.3">
      <c r="A39" s="42" t="s">
        <v>14</v>
      </c>
      <c r="B39" s="43">
        <v>3</v>
      </c>
      <c r="C39" s="44" t="s">
        <v>23</v>
      </c>
      <c r="D39" s="53">
        <f>$D$20+7</f>
        <v>45978</v>
      </c>
    </row>
    <row r="40" spans="1:8" ht="27.75" thickBot="1" x14ac:dyDescent="0.3">
      <c r="A40" s="45" t="s">
        <v>3</v>
      </c>
      <c r="B40" s="46" t="s">
        <v>15</v>
      </c>
      <c r="C40" s="45" t="s">
        <v>7</v>
      </c>
      <c r="D40" s="45" t="s">
        <v>13</v>
      </c>
    </row>
    <row r="41" spans="1:8" ht="27" x14ac:dyDescent="0.25">
      <c r="A41" s="5" t="s">
        <v>41</v>
      </c>
      <c r="B41" s="4">
        <v>1</v>
      </c>
      <c r="C41" s="88" t="s">
        <v>42</v>
      </c>
      <c r="D41" s="9"/>
    </row>
    <row r="42" spans="1:8" ht="162" x14ac:dyDescent="0.25">
      <c r="A42" s="1" t="s">
        <v>43</v>
      </c>
      <c r="B42" s="2">
        <v>11</v>
      </c>
      <c r="C42" s="95" t="s">
        <v>45</v>
      </c>
      <c r="D42" s="10"/>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2"/>
      <c r="B50" s="2"/>
      <c r="C50" s="10"/>
      <c r="D50" s="10"/>
    </row>
    <row r="51" spans="1:4" x14ac:dyDescent="0.25">
      <c r="A51" s="2"/>
      <c r="B51" s="2"/>
      <c r="C51" s="10"/>
      <c r="D51" s="10"/>
    </row>
    <row r="52" spans="1:4" x14ac:dyDescent="0.25">
      <c r="A52" s="2"/>
      <c r="B52" s="2"/>
      <c r="C52" s="10"/>
      <c r="D52" s="10"/>
    </row>
    <row r="53" spans="1:4" x14ac:dyDescent="0.25">
      <c r="A53" s="50"/>
      <c r="B53" s="50"/>
      <c r="C53" s="51"/>
      <c r="D53" s="51"/>
    </row>
    <row r="54" spans="1:4" x14ac:dyDescent="0.25">
      <c r="A54" s="50"/>
      <c r="B54" s="50"/>
      <c r="C54" s="51"/>
      <c r="D54" s="51"/>
    </row>
    <row r="55" spans="1:4" ht="14.25" thickBot="1" x14ac:dyDescent="0.3">
      <c r="A55" s="3"/>
      <c r="B55" s="3"/>
      <c r="C55" s="11"/>
      <c r="D55" s="11"/>
    </row>
    <row r="56" spans="1:4" ht="14.25" thickBot="1" x14ac:dyDescent="0.3">
      <c r="A56" s="47" t="s">
        <v>22</v>
      </c>
      <c r="B56" s="47">
        <f>SUM(B41:B55)</f>
        <v>12</v>
      </c>
      <c r="C56" s="87" t="s">
        <v>31</v>
      </c>
      <c r="D56" s="48"/>
    </row>
    <row r="57" spans="1:4" ht="15" thickBot="1" x14ac:dyDescent="0.35">
      <c r="A57" s="49"/>
      <c r="B57" s="49"/>
      <c r="C57" s="49"/>
      <c r="D57" s="49"/>
    </row>
    <row r="58" spans="1:4" ht="18.75" thickBot="1" x14ac:dyDescent="0.3">
      <c r="A58" s="42" t="s">
        <v>14</v>
      </c>
      <c r="B58" s="43">
        <v>4</v>
      </c>
      <c r="C58" s="44" t="s">
        <v>23</v>
      </c>
      <c r="D58" s="53">
        <f>$D$39+7</f>
        <v>45985</v>
      </c>
    </row>
    <row r="59" spans="1:4" ht="27.75" thickBot="1" x14ac:dyDescent="0.3">
      <c r="A59" s="45" t="s">
        <v>3</v>
      </c>
      <c r="B59" s="46" t="s">
        <v>15</v>
      </c>
      <c r="C59" s="45" t="s">
        <v>7</v>
      </c>
      <c r="D59" s="45" t="s">
        <v>13</v>
      </c>
    </row>
    <row r="60" spans="1:4" ht="54" x14ac:dyDescent="0.25">
      <c r="A60" s="5" t="s">
        <v>46</v>
      </c>
      <c r="B60" s="4">
        <v>7</v>
      </c>
      <c r="C60" s="88" t="s">
        <v>48</v>
      </c>
      <c r="D60" s="90"/>
    </row>
    <row r="61" spans="1:4" ht="40.5" x14ac:dyDescent="0.25">
      <c r="A61" s="1" t="s">
        <v>49</v>
      </c>
      <c r="B61" s="2">
        <v>1</v>
      </c>
      <c r="C61" s="95" t="s">
        <v>51</v>
      </c>
      <c r="D61" s="10"/>
    </row>
    <row r="62" spans="1:4" ht="27" x14ac:dyDescent="0.25">
      <c r="A62" s="1" t="s">
        <v>50</v>
      </c>
      <c r="B62" s="2">
        <v>2</v>
      </c>
      <c r="C62" s="95" t="s">
        <v>52</v>
      </c>
      <c r="D62" s="10"/>
    </row>
    <row r="63" spans="1:4" ht="27" x14ac:dyDescent="0.25">
      <c r="A63" s="1" t="s">
        <v>53</v>
      </c>
      <c r="B63" s="2">
        <v>2</v>
      </c>
      <c r="C63" s="95" t="s">
        <v>54</v>
      </c>
      <c r="D63" s="10"/>
    </row>
    <row r="64" spans="1:4" x14ac:dyDescent="0.25">
      <c r="A64" s="1"/>
      <c r="B64" s="2"/>
      <c r="C64" s="95"/>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2"/>
      <c r="B69" s="2"/>
      <c r="C69" s="10"/>
      <c r="D69" s="10"/>
    </row>
    <row r="70" spans="1:4" x14ac:dyDescent="0.25">
      <c r="A70" s="2"/>
      <c r="B70" s="2"/>
      <c r="C70" s="10"/>
      <c r="D70" s="10"/>
    </row>
    <row r="71" spans="1:4" x14ac:dyDescent="0.25">
      <c r="A71" s="2"/>
      <c r="B71" s="2"/>
      <c r="C71" s="10"/>
      <c r="D71" s="10"/>
    </row>
    <row r="72" spans="1:4" x14ac:dyDescent="0.25">
      <c r="A72" s="50"/>
      <c r="B72" s="50"/>
      <c r="C72" s="51"/>
      <c r="D72" s="51"/>
    </row>
    <row r="73" spans="1:4" x14ac:dyDescent="0.25">
      <c r="A73" s="50"/>
      <c r="B73" s="50"/>
      <c r="C73" s="51"/>
      <c r="D73" s="51"/>
    </row>
    <row r="74" spans="1:4" ht="14.25" thickBot="1" x14ac:dyDescent="0.3">
      <c r="A74" s="3"/>
      <c r="B74" s="3"/>
      <c r="C74" s="11"/>
      <c r="D74" s="11"/>
    </row>
    <row r="75" spans="1:4" ht="14.25" thickBot="1" x14ac:dyDescent="0.3">
      <c r="A75" s="47" t="s">
        <v>22</v>
      </c>
      <c r="B75" s="47">
        <f>SUM(B60:B74)</f>
        <v>12</v>
      </c>
      <c r="C75" s="87" t="s">
        <v>31</v>
      </c>
      <c r="D75" s="48"/>
    </row>
    <row r="76" spans="1:4" ht="15" thickBot="1" x14ac:dyDescent="0.35">
      <c r="A76" s="49"/>
      <c r="B76" s="49"/>
      <c r="C76" s="49"/>
      <c r="D76" s="49"/>
    </row>
    <row r="77" spans="1:4" ht="18.75" thickBot="1" x14ac:dyDescent="0.3">
      <c r="A77" s="42" t="s">
        <v>14</v>
      </c>
      <c r="B77" s="43">
        <v>5</v>
      </c>
      <c r="C77" s="44" t="s">
        <v>23</v>
      </c>
      <c r="D77" s="53">
        <f>$D$58+7</f>
        <v>45992</v>
      </c>
    </row>
    <row r="78" spans="1:4" ht="27.75" thickBot="1" x14ac:dyDescent="0.3">
      <c r="A78" s="45" t="s">
        <v>3</v>
      </c>
      <c r="B78" s="46" t="s">
        <v>15</v>
      </c>
      <c r="C78" s="45" t="s">
        <v>7</v>
      </c>
      <c r="D78" s="45" t="s">
        <v>13</v>
      </c>
    </row>
    <row r="79" spans="1:4" x14ac:dyDescent="0.25">
      <c r="A79" s="5" t="s">
        <v>21</v>
      </c>
      <c r="B79" s="4">
        <v>6</v>
      </c>
      <c r="C79" s="88" t="s">
        <v>55</v>
      </c>
      <c r="D79" s="9"/>
    </row>
    <row r="80" spans="1:4" ht="54" x14ac:dyDescent="0.25">
      <c r="A80" s="1" t="s">
        <v>56</v>
      </c>
      <c r="B80" s="2">
        <v>3</v>
      </c>
      <c r="C80" s="95" t="s">
        <v>57</v>
      </c>
      <c r="D80" s="10"/>
    </row>
    <row r="81" spans="1:4" ht="54" x14ac:dyDescent="0.25">
      <c r="A81" s="1" t="s">
        <v>58</v>
      </c>
      <c r="B81" s="2">
        <v>3</v>
      </c>
      <c r="C81" s="95" t="s">
        <v>60</v>
      </c>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2"/>
      <c r="B88" s="2"/>
      <c r="C88" s="10"/>
      <c r="D88" s="10"/>
    </row>
    <row r="89" spans="1:4" x14ac:dyDescent="0.25">
      <c r="A89" s="2"/>
      <c r="B89" s="2"/>
      <c r="C89" s="10"/>
      <c r="D89" s="10"/>
    </row>
    <row r="90" spans="1:4" x14ac:dyDescent="0.25">
      <c r="A90" s="2"/>
      <c r="B90" s="2"/>
      <c r="C90" s="10"/>
      <c r="D90" s="10"/>
    </row>
    <row r="91" spans="1:4" x14ac:dyDescent="0.25">
      <c r="A91" s="50"/>
      <c r="B91" s="50"/>
      <c r="C91" s="51"/>
      <c r="D91" s="51"/>
    </row>
    <row r="92" spans="1:4" x14ac:dyDescent="0.25">
      <c r="A92" s="50"/>
      <c r="B92" s="50"/>
      <c r="C92" s="51"/>
      <c r="D92" s="51"/>
    </row>
    <row r="93" spans="1:4" ht="14.25" thickBot="1" x14ac:dyDescent="0.3">
      <c r="A93" s="3"/>
      <c r="B93" s="3"/>
      <c r="C93" s="11"/>
      <c r="D93" s="11"/>
    </row>
    <row r="94" spans="1:4" ht="14.25" thickBot="1" x14ac:dyDescent="0.3">
      <c r="A94" s="47" t="s">
        <v>22</v>
      </c>
      <c r="B94" s="47">
        <f>SUM(B79:B93)</f>
        <v>12</v>
      </c>
      <c r="C94" s="87" t="s">
        <v>31</v>
      </c>
      <c r="D94" s="48"/>
    </row>
    <row r="95" spans="1:4" ht="15" thickBot="1" x14ac:dyDescent="0.35">
      <c r="A95" s="49"/>
      <c r="B95" s="49"/>
      <c r="C95" s="49"/>
      <c r="D95" s="49"/>
    </row>
    <row r="96" spans="1:4" ht="18.75" thickBot="1" x14ac:dyDescent="0.3">
      <c r="A96" s="42" t="s">
        <v>14</v>
      </c>
      <c r="B96" s="43">
        <v>6</v>
      </c>
      <c r="C96" s="44" t="s">
        <v>23</v>
      </c>
      <c r="D96" s="53">
        <f>$D$77+7</f>
        <v>45999</v>
      </c>
    </row>
    <row r="97" spans="1:4" ht="27.75" thickBot="1" x14ac:dyDescent="0.3">
      <c r="A97" s="45" t="s">
        <v>3</v>
      </c>
      <c r="B97" s="46" t="s">
        <v>15</v>
      </c>
      <c r="C97" s="45" t="s">
        <v>7</v>
      </c>
      <c r="D97" s="45" t="s">
        <v>13</v>
      </c>
    </row>
    <row r="98" spans="1:4" x14ac:dyDescent="0.25">
      <c r="A98" s="5"/>
      <c r="B98" s="4"/>
      <c r="C98" s="88"/>
      <c r="D98" s="91"/>
    </row>
    <row r="99" spans="1:4" x14ac:dyDescent="0.25">
      <c r="A99" s="1"/>
      <c r="B99" s="2"/>
      <c r="C99" s="89"/>
      <c r="D99" s="93"/>
    </row>
    <row r="100" spans="1:4" x14ac:dyDescent="0.25">
      <c r="A100" s="1"/>
      <c r="B100" s="2"/>
      <c r="C100" s="10"/>
      <c r="D100" s="10"/>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2"/>
      <c r="B107" s="2"/>
      <c r="C107" s="10"/>
      <c r="D107" s="10"/>
    </row>
    <row r="108" spans="1:4" x14ac:dyDescent="0.25">
      <c r="A108" s="2"/>
      <c r="B108" s="2"/>
      <c r="C108" s="10"/>
      <c r="D108" s="10"/>
    </row>
    <row r="109" spans="1:4" x14ac:dyDescent="0.25">
      <c r="A109" s="2"/>
      <c r="B109" s="2"/>
      <c r="C109" s="10"/>
      <c r="D109" s="10"/>
    </row>
    <row r="110" spans="1:4" x14ac:dyDescent="0.25">
      <c r="A110" s="50"/>
      <c r="B110" s="50"/>
      <c r="C110" s="51"/>
      <c r="D110" s="51"/>
    </row>
    <row r="111" spans="1:4" x14ac:dyDescent="0.25">
      <c r="A111" s="50"/>
      <c r="B111" s="50"/>
      <c r="C111" s="51"/>
      <c r="D111" s="51"/>
    </row>
    <row r="112" spans="1:4" ht="14.25" thickBot="1" x14ac:dyDescent="0.3">
      <c r="A112" s="3"/>
      <c r="B112" s="3"/>
      <c r="C112" s="11"/>
      <c r="D112" s="11"/>
    </row>
    <row r="113" spans="1:4" ht="14.25" thickBot="1" x14ac:dyDescent="0.3">
      <c r="A113" s="47" t="s">
        <v>22</v>
      </c>
      <c r="B113" s="47">
        <f>SUM(B98:B112)</f>
        <v>0</v>
      </c>
      <c r="C113" s="87" t="s">
        <v>31</v>
      </c>
      <c r="D113" s="48"/>
    </row>
    <row r="114" spans="1:4" ht="15" thickBot="1" x14ac:dyDescent="0.35">
      <c r="A114" s="49"/>
      <c r="B114" s="49"/>
      <c r="C114" s="49"/>
      <c r="D114" s="49"/>
    </row>
    <row r="115" spans="1:4" ht="18.75" thickBot="1" x14ac:dyDescent="0.3">
      <c r="A115" s="42" t="s">
        <v>14</v>
      </c>
      <c r="B115" s="43">
        <v>7</v>
      </c>
      <c r="C115" s="44" t="s">
        <v>23</v>
      </c>
      <c r="D115" s="53">
        <f>$D$96+7</f>
        <v>46006</v>
      </c>
    </row>
    <row r="116" spans="1:4" ht="27.75" thickBot="1" x14ac:dyDescent="0.3">
      <c r="A116" s="45" t="s">
        <v>3</v>
      </c>
      <c r="B116" s="46" t="s">
        <v>15</v>
      </c>
      <c r="C116" s="45" t="s">
        <v>7</v>
      </c>
      <c r="D116" s="45" t="s">
        <v>13</v>
      </c>
    </row>
    <row r="117" spans="1:4" x14ac:dyDescent="0.25">
      <c r="A117" s="5"/>
      <c r="B117" s="4"/>
      <c r="C117" s="88"/>
      <c r="D117" s="9"/>
    </row>
    <row r="118" spans="1:4" x14ac:dyDescent="0.25">
      <c r="A118" s="1"/>
      <c r="B118" s="2"/>
      <c r="C118" s="92"/>
      <c r="D118" s="10"/>
    </row>
    <row r="119" spans="1:4" x14ac:dyDescent="0.25">
      <c r="A119" s="1"/>
      <c r="B119" s="2"/>
      <c r="C119" s="89"/>
      <c r="D119" s="93"/>
    </row>
    <row r="120" spans="1:4" x14ac:dyDescent="0.25">
      <c r="A120" s="1"/>
      <c r="B120" s="2"/>
      <c r="C120" s="10"/>
      <c r="D120" s="10"/>
    </row>
    <row r="121" spans="1:4" x14ac:dyDescent="0.25">
      <c r="A121" s="1"/>
      <c r="B121" s="2"/>
      <c r="C121" s="10"/>
      <c r="D121" s="10"/>
    </row>
    <row r="122" spans="1:4" x14ac:dyDescent="0.25">
      <c r="A122" s="1"/>
      <c r="B122" s="2"/>
      <c r="C122" s="10"/>
      <c r="D122" s="10"/>
    </row>
    <row r="123" spans="1:4" x14ac:dyDescent="0.25">
      <c r="A123" s="1"/>
      <c r="B123" s="2"/>
      <c r="C123" s="10"/>
      <c r="D123" s="10"/>
    </row>
    <row r="124" spans="1:4" x14ac:dyDescent="0.25">
      <c r="A124" s="1"/>
      <c r="B124" s="2"/>
      <c r="C124" s="10"/>
      <c r="D124" s="10"/>
    </row>
    <row r="125" spans="1:4" x14ac:dyDescent="0.25">
      <c r="A125" s="1"/>
      <c r="B125" s="2"/>
      <c r="C125" s="10"/>
      <c r="D125" s="10"/>
    </row>
    <row r="126" spans="1:4" x14ac:dyDescent="0.25">
      <c r="A126" s="2"/>
      <c r="B126" s="2"/>
      <c r="C126" s="10"/>
      <c r="D126" s="10"/>
    </row>
    <row r="127" spans="1:4" x14ac:dyDescent="0.25">
      <c r="A127" s="2"/>
      <c r="B127" s="2"/>
      <c r="C127" s="10"/>
      <c r="D127" s="10"/>
    </row>
    <row r="128" spans="1:4" x14ac:dyDescent="0.25">
      <c r="A128" s="2"/>
      <c r="B128" s="2"/>
      <c r="C128" s="10"/>
      <c r="D128" s="10"/>
    </row>
    <row r="129" spans="1:4" x14ac:dyDescent="0.25">
      <c r="A129" s="50"/>
      <c r="B129" s="50"/>
      <c r="C129" s="51"/>
      <c r="D129" s="51"/>
    </row>
    <row r="130" spans="1:4" x14ac:dyDescent="0.25">
      <c r="A130" s="50"/>
      <c r="B130" s="50"/>
      <c r="C130" s="51"/>
      <c r="D130" s="51"/>
    </row>
    <row r="131" spans="1:4" ht="14.25" thickBot="1" x14ac:dyDescent="0.3">
      <c r="A131" s="3"/>
      <c r="B131" s="3"/>
      <c r="C131" s="11"/>
      <c r="D131" s="11"/>
    </row>
    <row r="132" spans="1:4" ht="14.25" thickBot="1" x14ac:dyDescent="0.3">
      <c r="A132" s="47" t="s">
        <v>22</v>
      </c>
      <c r="B132" s="47">
        <f>SUM(B117:B131)</f>
        <v>0</v>
      </c>
      <c r="C132" s="87" t="s">
        <v>31</v>
      </c>
      <c r="D132" s="48"/>
    </row>
    <row r="133" spans="1:4" ht="15" thickBot="1" x14ac:dyDescent="0.35">
      <c r="A133" s="49"/>
      <c r="B133" s="49"/>
      <c r="C133" s="49"/>
      <c r="D133" s="49"/>
    </row>
    <row r="134" spans="1:4" ht="18.75" thickBot="1" x14ac:dyDescent="0.3">
      <c r="A134" s="42" t="s">
        <v>14</v>
      </c>
      <c r="B134" s="43">
        <v>8</v>
      </c>
      <c r="C134" s="44" t="s">
        <v>23</v>
      </c>
      <c r="D134" s="53">
        <f>$D$115+7</f>
        <v>46013</v>
      </c>
    </row>
    <row r="135" spans="1:4" ht="27.75" thickBot="1" x14ac:dyDescent="0.3">
      <c r="A135" s="45" t="s">
        <v>3</v>
      </c>
      <c r="B135" s="46" t="s">
        <v>15</v>
      </c>
      <c r="C135" s="45" t="s">
        <v>7</v>
      </c>
      <c r="D135" s="45" t="s">
        <v>13</v>
      </c>
    </row>
    <row r="136" spans="1:4" x14ac:dyDescent="0.25">
      <c r="A136" s="5"/>
      <c r="B136" s="4"/>
      <c r="C136" s="94"/>
      <c r="D136" s="9"/>
    </row>
    <row r="137" spans="1:4" x14ac:dyDescent="0.25">
      <c r="A137" s="1"/>
      <c r="B137" s="2"/>
      <c r="C137" s="95"/>
      <c r="D137" s="10"/>
    </row>
    <row r="138" spans="1:4" x14ac:dyDescent="0.25">
      <c r="A138" s="1"/>
      <c r="B138" s="2"/>
      <c r="C138" s="10"/>
      <c r="D138" s="10"/>
    </row>
    <row r="139" spans="1:4" x14ac:dyDescent="0.25">
      <c r="A139" s="1"/>
      <c r="B139" s="2"/>
      <c r="C139" s="10"/>
      <c r="D139" s="10"/>
    </row>
    <row r="140" spans="1:4" x14ac:dyDescent="0.25">
      <c r="A140" s="1"/>
      <c r="B140" s="2"/>
      <c r="C140" s="10"/>
      <c r="D140" s="10"/>
    </row>
    <row r="141" spans="1:4" x14ac:dyDescent="0.25">
      <c r="A141" s="1"/>
      <c r="B141" s="2"/>
      <c r="C141" s="10"/>
      <c r="D141" s="10"/>
    </row>
    <row r="142" spans="1:4" x14ac:dyDescent="0.25">
      <c r="A142" s="1"/>
      <c r="B142" s="2"/>
      <c r="C142" s="10"/>
      <c r="D142" s="10"/>
    </row>
    <row r="143" spans="1:4" x14ac:dyDescent="0.25">
      <c r="A143" s="1"/>
      <c r="B143" s="2"/>
      <c r="C143" s="10"/>
      <c r="D143" s="10"/>
    </row>
    <row r="144" spans="1:4" x14ac:dyDescent="0.25">
      <c r="A144" s="1"/>
      <c r="B144" s="2"/>
      <c r="C144" s="10"/>
      <c r="D144" s="10"/>
    </row>
    <row r="145" spans="1:4" x14ac:dyDescent="0.25">
      <c r="A145" s="2"/>
      <c r="B145" s="2"/>
      <c r="C145" s="10"/>
      <c r="D145" s="10"/>
    </row>
    <row r="146" spans="1:4" x14ac:dyDescent="0.25">
      <c r="A146" s="2"/>
      <c r="B146" s="2"/>
      <c r="C146" s="10"/>
      <c r="D146" s="10"/>
    </row>
    <row r="147" spans="1:4" x14ac:dyDescent="0.25">
      <c r="A147" s="2"/>
      <c r="B147" s="2"/>
      <c r="C147" s="10"/>
      <c r="D147" s="10"/>
    </row>
    <row r="148" spans="1:4" x14ac:dyDescent="0.25">
      <c r="A148" s="50"/>
      <c r="B148" s="50"/>
      <c r="C148" s="51"/>
      <c r="D148" s="51"/>
    </row>
    <row r="149" spans="1:4" x14ac:dyDescent="0.25">
      <c r="A149" s="50"/>
      <c r="B149" s="50"/>
      <c r="C149" s="51"/>
      <c r="D149" s="51"/>
    </row>
    <row r="150" spans="1:4" ht="14.25" thickBot="1" x14ac:dyDescent="0.3">
      <c r="A150" s="3"/>
      <c r="B150" s="3"/>
      <c r="C150" s="11"/>
      <c r="D150" s="11"/>
    </row>
    <row r="151" spans="1:4" ht="14.25" thickBot="1" x14ac:dyDescent="0.3">
      <c r="A151" s="47" t="s">
        <v>22</v>
      </c>
      <c r="B151" s="47">
        <f>SUM(B136:B150)</f>
        <v>0</v>
      </c>
      <c r="C151" s="87" t="s">
        <v>31</v>
      </c>
      <c r="D151" s="48"/>
    </row>
    <row r="152" spans="1:4" ht="14.25" x14ac:dyDescent="0.3">
      <c r="A152" s="49"/>
      <c r="B152" s="49"/>
      <c r="C152" s="49"/>
      <c r="D152" s="49"/>
    </row>
    <row r="153" spans="1:4" x14ac:dyDescent="0.25">
      <c r="A153" s="86" t="s">
        <v>28</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7:F34 B3:B17 B22:B36 B41:B55 B60:B74 B136:B150 B98:B112 B117:B131 B79:B93"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7 B56 B75 B94 B113 B132 B151" xr:uid="{C02FA86D-12F2-40ED-8F5D-F7684A1E2EDD}">
      <formula1>0</formula1>
      <formula2>NbPerWeek * NbQuartPer</formula2>
    </dataValidation>
    <dataValidation type="list" allowBlank="1" showInputMessage="1" showErrorMessage="1" sqref="A3:A17 A22:A36 A41:A55 A60:A74 A136:A150 A98:A112 A117:A131 A79:A93"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Props1.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3.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2025-12-01T10:26:02Z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