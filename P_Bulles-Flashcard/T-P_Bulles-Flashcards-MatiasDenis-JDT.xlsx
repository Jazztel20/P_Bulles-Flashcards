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drawings/drawing2.xml" ContentType="application/vnd.openxmlformats-officedocument.drawing+xml"/>
  <Override PartName="/xl/activeX/activeX4.xml" ContentType="application/vnd.ms-office.activeX+xml"/>
  <Override PartName="/xl/activeX/activeX4.bin" ContentType="application/vnd.ms-office.activeX"/>
  <Override PartName="/xl/drawings/drawing3.xml" ContentType="application/vnd.openxmlformats-officedocument.drawing+xml"/>
  <Override PartName="/xl/activeX/activeX5.xml" ContentType="application/vnd.ms-office.activeX+xml"/>
  <Override PartName="/xl/activeX/activeX5.bin" ContentType="application/vnd.ms-office.activeX"/>
  <Override PartName="/xl/drawings/drawing4.xml" ContentType="application/vnd.openxmlformats-officedocument.drawing+xml"/>
  <Override PartName="/xl/activeX/activeX6.xml" ContentType="application/vnd.ms-office.activeX+xml"/>
  <Override PartName="/xl/activeX/activeX6.bin" ContentType="application/vnd.ms-office.activeX"/>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updateLinks="never" codeName="ThisWorkbook"/>
  <mc:AlternateContent xmlns:mc="http://schemas.openxmlformats.org/markup-compatibility/2006">
    <mc:Choice Requires="x15">
      <x15ac:absPath xmlns:x15ac="http://schemas.microsoft.com/office/spreadsheetml/2010/11/ac" url="C:\Users\matia\Desktop\P_Bulles-Flashcards\P_Bulles-Flashcard\"/>
    </mc:Choice>
  </mc:AlternateContent>
  <xr:revisionPtr revIDLastSave="0" documentId="13_ncr:1_{1C35398A-F1D8-49E6-A764-FB0AE2675FFA}" xr6:coauthVersionLast="47" xr6:coauthVersionMax="47" xr10:uidLastSave="{00000000-0000-0000-0000-000000000000}"/>
  <bookViews>
    <workbookView xWindow="-108" yWindow="-108" windowWidth="23256" windowHeight="12456" activeTab="5" xr2:uid="{00000000-000D-0000-FFFF-FFFF00000000}"/>
  </bookViews>
  <sheets>
    <sheet name="Donnees" sheetId="7" r:id="rId1"/>
    <sheet name="DiagramHeader" sheetId="10" state="hidden" r:id="rId2"/>
    <sheet name="DiagramFooter" sheetId="130" state="hidden" r:id="rId3"/>
    <sheet name="PlanificationWeek" sheetId="11" state="hidden" r:id="rId4"/>
    <sheet name="achievementWeek" sheetId="154" state="hidden" r:id="rId5"/>
    <sheet name="JNLTRAV" sheetId="156" r:id="rId6"/>
  </sheets>
  <definedNames>
    <definedName name="datDateBegin">Donnees!$C$9</definedName>
    <definedName name="lstTasks">Donnees!$C$20:$C$51</definedName>
    <definedName name="NbPerWeek">Donnees!$C$12</definedName>
    <definedName name="NbQuartPer">Donnees!$C$13</definedName>
    <definedName name="NbWeeks">Donnees!$C$11</definedName>
    <definedName name="objFooterDiagram">DiagramFooter!$B$3:$C$4</definedName>
    <definedName name="objPlanifWeek">PlanificationWeek!$A$1:$D$14</definedName>
    <definedName name="objRealizedWeek" localSheetId="4">achievementWeek!$A$1:$D$19</definedName>
    <definedName name="objRealizedWeek" localSheetId="5">JNLTRAV!$A$1:$D$19</definedName>
    <definedName name="_xlnm.Print_Area" localSheetId="0">Donnees!$A$1:$G$53</definedName>
  </definedNames>
  <calcPr calcId="191029"/>
  <customWorkbookViews>
    <customWorkbookView name="Gilbert Gruaz - Affichage personnalisé" guid="{4120A410-7ADA-42AD-8010-013327A2ECF1}" mergeInterval="0" personalView="1" maximized="1" windowWidth="1916" windowHeight="821" activeSheetId="4"/>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156" l="1"/>
  <c r="D20" i="156" s="1"/>
  <c r="D39" i="156" s="1"/>
  <c r="D58" i="156" s="1"/>
  <c r="D77" i="156" s="1"/>
  <c r="D96" i="156" s="1"/>
  <c r="D115" i="156" s="1"/>
  <c r="D138" i="156" s="1"/>
  <c r="B155" i="156"/>
  <c r="B136" i="156"/>
  <c r="B113" i="156"/>
  <c r="B94" i="156"/>
  <c r="B75" i="156"/>
  <c r="B56" i="156"/>
  <c r="B37" i="156"/>
  <c r="B18" i="156"/>
  <c r="B18" i="154" l="1"/>
  <c r="B13" i="11" l="1"/>
</calcChain>
</file>

<file path=xl/sharedStrings.xml><?xml version="1.0" encoding="utf-8"?>
<sst xmlns="http://schemas.openxmlformats.org/spreadsheetml/2006/main" count="200" uniqueCount="98">
  <si>
    <t>Module :</t>
  </si>
  <si>
    <t>Classe :</t>
  </si>
  <si>
    <t>Lieu :</t>
  </si>
  <si>
    <t>Tâche</t>
  </si>
  <si>
    <t>Prénom - nom :</t>
  </si>
  <si>
    <t>Tâches - objectifs</t>
  </si>
  <si>
    <t xml:space="preserve"> </t>
  </si>
  <si>
    <r>
      <t>Explications:</t>
    </r>
    <r>
      <rPr>
        <b/>
        <sz val="10"/>
        <rFont val="Century Gothic"/>
        <family val="2"/>
        <scheme val="minor"/>
      </rPr>
      <t xml:space="preserve"> qu'est-ce qui se fait et comment ?</t>
    </r>
  </si>
  <si>
    <t>Date Fin:</t>
  </si>
  <si>
    <t>Date Début :</t>
  </si>
  <si>
    <t>Nombre de semaines:</t>
  </si>
  <si>
    <t>Nombre de Périodes/Semaine :</t>
  </si>
  <si>
    <t>Nombre de 1/4 heure/Période:</t>
  </si>
  <si>
    <t>Liens, références, …</t>
  </si>
  <si>
    <t>Semaine</t>
  </si>
  <si>
    <t>Durée
[1/4 h.]</t>
  </si>
  <si>
    <t>Total planifié</t>
  </si>
  <si>
    <t>Total réalisé</t>
  </si>
  <si>
    <t>Nb 1/4 heure</t>
  </si>
  <si>
    <t>Liste des tâches</t>
  </si>
  <si>
    <t>Tâche obligatoire:</t>
  </si>
  <si>
    <t>Absence - Imprévus</t>
  </si>
  <si>
    <t>Total semaine</t>
  </si>
  <si>
    <t>Début:</t>
  </si>
  <si>
    <t>P_FUN</t>
  </si>
  <si>
    <t>Matias Denis</t>
  </si>
  <si>
    <t>FID2</t>
  </si>
  <si>
    <t>ETML - Vennes</t>
  </si>
  <si>
    <t>STOP</t>
  </si>
  <si>
    <t>Explications du projet par Monsieur Charmier</t>
  </si>
  <si>
    <t>Prise de connaissance du cahier des charges</t>
  </si>
  <si>
    <t>Max. 12</t>
  </si>
  <si>
    <t>Maladie.</t>
  </si>
  <si>
    <t>Monsieur Charmier a montré le code du projet ainsi que le partie view et a expliqué dans les grandes lignes ce qu'il allait être demandé.</t>
  </si>
  <si>
    <t>Lecture et prise de connaissance de tous les aspects demandés pour ce projet.</t>
  </si>
  <si>
    <t>Création d'un layout, composant layout et partials</t>
  </si>
  <si>
    <t>Création des migrations et des modèles</t>
  </si>
  <si>
    <t>Création d'un contrôleur et d'une route</t>
  </si>
  <si>
    <t>Création d'un layout permettant d'appeler le css et les partials (header, footer) et d'être appelé dans la vue home.Step 2.</t>
  </si>
  <si>
    <t>Création des migrations pour gérer les schémas de la base de données. Création des modèles pour gérer les interactions avec les données. Step 3.</t>
  </si>
  <si>
    <t>Création d'un contrôleur et de la méthode index pour récupérer les données. Création d'une route qui permettra de gérer les requêtes. Step 4.</t>
  </si>
  <si>
    <t>Création du repository GitHub</t>
  </si>
  <si>
    <t>Création d'un repo github afin de pouvoir voir les avancées du projet.</t>
  </si>
  <si>
    <t>Avancées dans les steps 4 à 11</t>
  </si>
  <si>
    <t>Création de l'infrastructure de base sur l'application test grâce aux steps 0 et 1.</t>
  </si>
  <si>
    <t xml:space="preserve">Sans trop entrer dans le détail, ont été suivis les steps depuis la fin du 4 jusqu'à la fin du 11. Ce qui a été créé, entre autres: step5: création d'un jeu de données avec seeder et factory, step6: afficher les détails des enseignants avec route, méthodes dans le contrôleur, ajout d'une vue, step 7: suppression d'un enseignant, création d'une route, ajout d'une méthode au contrôleur, step8: ajout d'un enseignant, création de deux routes (une pour afficher le formulaire pour les informations de l'enseignant, une pour gérer l'ajout de l'enseignant), ajout d'un validateur, des méthodes au contrôleur, ajout d'une vue, step 9:  ajout d'un enseignant, création de deux routes (une pour afficher le formulaire pour les informations de l'enseignant, une pour gérer l'ajout de l'enseignant), ajout d'un validateur, des méthodes au contrôleur, step 10: mise en place de l'authentification, mise à jour de la table t_user, création de migration user, seeder, step 11: mise en place du login, nouvelle route, </t>
  </si>
  <si>
    <t>Finalisation des step 11 à 13</t>
  </si>
  <si>
    <t>Création de l'infrastructure de l'application test</t>
  </si>
  <si>
    <t>création d'un nouveau contrôleur et méthode, création d'un validateur pour finaliser le step 11, step 12: mise en place du logout, nouvelle route, nouvelle méthode AuthControlleur, step 13: gestion des rôles, utilisation des middlewares (un pour partager l'état de l'authentification, un pour vérifier le rôle)</t>
  </si>
  <si>
    <t>Création de l'infrastructure du projet Flashcards</t>
  </si>
  <si>
    <t>Création d'un MCD-MLD</t>
  </si>
  <si>
    <t xml:space="preserve">Création du projet à l'aide de la commande npm init adonisjs@latest app-flashcards-adonisjs -- --db=mysql afin d'avoir l'infrastructure demandée. </t>
  </si>
  <si>
    <t>Création des trois entités Utilisateur-Deck-Flashcards avec leurs attributs et les cardinalités entre elles afin d'avoir la logique sous les yeux.</t>
  </si>
  <si>
    <t>Changement HTML-CSS</t>
  </si>
  <si>
    <t>Remplacement du HTML/CSS existants dans le projet par le statique afin de recommencer comme dans les steps.</t>
  </si>
  <si>
    <t>Rendez-vous chez le médecin.</t>
  </si>
  <si>
    <t>Création de l'architecture des dossiers des pages</t>
  </si>
  <si>
    <r>
      <t xml:space="preserve">Création d'un dossier </t>
    </r>
    <r>
      <rPr>
        <i/>
        <sz val="10"/>
        <rFont val="Century Gothic"/>
        <family val="2"/>
        <scheme val="minor"/>
      </rPr>
      <t xml:space="preserve">components </t>
    </r>
    <r>
      <rPr>
        <sz val="10"/>
        <rFont val="Century Gothic"/>
        <family val="2"/>
        <scheme val="minor"/>
      </rPr>
      <t xml:space="preserve">qui contient la page </t>
    </r>
    <r>
      <rPr>
        <i/>
        <sz val="10"/>
        <rFont val="Century Gothic"/>
        <family val="2"/>
        <scheme val="minor"/>
      </rPr>
      <t xml:space="preserve">layout.edge, </t>
    </r>
    <r>
      <rPr>
        <sz val="10"/>
        <rFont val="Century Gothic"/>
        <family val="2"/>
        <scheme val="minor"/>
      </rPr>
      <t xml:space="preserve">création d'un dossier </t>
    </r>
    <r>
      <rPr>
        <i/>
        <sz val="10"/>
        <rFont val="Century Gothic"/>
        <family val="2"/>
        <scheme val="minor"/>
      </rPr>
      <t xml:space="preserve">partials </t>
    </r>
    <r>
      <rPr>
        <sz val="10"/>
        <rFont val="Century Gothic"/>
        <family val="2"/>
        <scheme val="minor"/>
      </rPr>
      <t xml:space="preserve">qui contient </t>
    </r>
    <r>
      <rPr>
        <i/>
        <sz val="10"/>
        <rFont val="Century Gothic"/>
        <family val="2"/>
        <scheme val="minor"/>
      </rPr>
      <t>header.edge</t>
    </r>
    <r>
      <rPr>
        <sz val="10"/>
        <rFont val="Century Gothic"/>
        <family val="2"/>
        <scheme val="minor"/>
      </rPr>
      <t xml:space="preserve"> et </t>
    </r>
    <r>
      <rPr>
        <i/>
        <sz val="10"/>
        <rFont val="Century Gothic"/>
        <family val="2"/>
        <scheme val="minor"/>
      </rPr>
      <t>footer.edge. Adaptation de la page home.edge</t>
    </r>
    <r>
      <rPr>
        <sz val="10"/>
        <rFont val="Century Gothic"/>
        <family val="2"/>
        <scheme val="minor"/>
      </rPr>
      <t xml:space="preserve">. </t>
    </r>
    <r>
      <rPr>
        <i/>
        <sz val="10"/>
        <rFont val="Century Gothic"/>
        <family val="2"/>
        <scheme val="minor"/>
      </rPr>
      <t>Le code de ces différentes pages se trouve dans les PDF, step 1 et 2.</t>
    </r>
    <r>
      <rPr>
        <sz val="10"/>
        <rFont val="Century Gothic"/>
        <family val="2"/>
        <scheme val="minor"/>
      </rPr>
      <t xml:space="preserve"> Il a été adapté pour l'application Flashcards depuis l'application test.</t>
    </r>
  </si>
  <si>
    <t>Création des migrations pour t_deck et t_flashcards et code</t>
  </si>
  <si>
    <t>Création des modèles et migrations pour t_deck et t_flashcards et code</t>
  </si>
  <si>
    <t>Création des migrations pour les decks, les users et les flashcards. Création des modèles flashcards. Le code a été repris de l'application test et adapté aux différents attributs du MCD/MLD. Mise en place de la route pour que la page d'accueil soit égale à la liste des decks via le futur DecksController.</t>
  </si>
  <si>
    <t>Création du contrôleur pour les decks</t>
  </si>
  <si>
    <t>Méthodes du contrôleur decks</t>
  </si>
  <si>
    <t>Création des routes pour créer, montrer, modifier et supprimer un deck</t>
  </si>
  <si>
    <t>Création du contrôleur pour les decks et création de la méthode index pour lister tous les decks, update de la route pour que la page d'accueil soit égale à la liste des decks.</t>
  </si>
  <si>
    <t>Création des méthodes show, edit, update et destroy afin de pouvoir intéragir les decks.</t>
  </si>
  <si>
    <t>Création des routes show, edit, update et destroy afin de pouvoir aller sur les différentes pages.</t>
  </si>
  <si>
    <t>Création des vues edit et show</t>
  </si>
  <si>
    <t>Création des vues edit et show afin d'arriver sur ces pages là via les routes pour pouvoir voir les détails d'un deck, le modifier. (La suppression se fait sur la page home directement)</t>
  </si>
  <si>
    <t>Création du validateur pour les decks</t>
  </si>
  <si>
    <t>Création d'un validateur pour la création et la modification d'un deck avec mise à jour des méthodes update et store qui l'utilisent. Mise à jour de create.edge afin d'afficher les erreurs.</t>
  </si>
  <si>
    <t>Vacances du 20.12.25 au 04.01.26</t>
  </si>
  <si>
    <t>Lundi 29.12.25</t>
  </si>
  <si>
    <t>Modification du validateur pour les decks</t>
  </si>
  <si>
    <t>Monsieur Charmier m'a fait remarquer que les validateurs pour la création et la modification d'un deck sont identiques et donc ils ont été adapté pour ne faire qu'un et ensuite les méthodes store et update ont été adaptées pour utiliser cet unique validateur.</t>
  </si>
  <si>
    <t>Initialisation du projet à la maison afin de pouvoir travailler dessus: installation de docker desktop, github desktop, le fchier .env.</t>
  </si>
  <si>
    <t>Initialisation du projet à la maison</t>
  </si>
  <si>
    <t>Création des routes pour créer, montrer, modifier et supprimer des cartes</t>
  </si>
  <si>
    <t>Création des contrôleurs et méthodes pour les cartes</t>
  </si>
  <si>
    <t>Création du contrôleur pour les cartes et création des méthodes index, create, store, edit, update, destroy afin de pouvoir faire les différentes actions CRUD sur les cartes.</t>
  </si>
  <si>
    <t>Création des vues index.edge, create.edge, edit.edge pour les flashcards</t>
  </si>
  <si>
    <t>Création des routes index, edit, update et destroy afin d'intéragir avec les cartes, corrections d'erreurs et ajout des routes publish, unpublish et play pour les decks.</t>
  </si>
  <si>
    <t>Création des vues flashcards afin d'avoir accès aux pages de cartes pour chaque deck, de les ajouter, les modifier et les supprimer. Modification de la page home.edge avec les actions complètes de chaque deck</t>
  </si>
  <si>
    <t>Création d'un seeder pour test de connexion</t>
  </si>
  <si>
    <t>Création du contrôleur pour l'authentification</t>
  </si>
  <si>
    <t>Création d'un seeder pour avoir deux utilisateurs un admin et un pas en vue de faire l'authentification comme dans les steps 10, 11, 12 et 13 de l'application test.</t>
  </si>
  <si>
    <t>Création du contrôleur pour l'authentification &amp; modification routes</t>
  </si>
  <si>
    <t>Création du contrôleur pour l'authentification avec message. Modification des routes afin de respecter les accès aux pages de l'authentification.</t>
  </si>
  <si>
    <t xml:space="preserve">Authentification </t>
  </si>
  <si>
    <t>Middlewares et affichage dynamique du header</t>
  </si>
  <si>
    <t>Contrôleurs et passage de auth aux vues</t>
  </si>
  <si>
    <t>Navigation et routes</t>
  </si>
  <si>
    <t xml:space="preserve">Vues Edge </t>
  </si>
  <si>
    <t>Ajout des pages login et signup, implémentation de la connexion (vérification des identifiants + session web), gestion des messages d’erreur, et mise en place de la déconnexion avec redirection vers l’accueil.</t>
  </si>
  <si>
    <t>Activation d’un silent auth global pour connaître l’état connecté/déconnecté sur toutes les pages, et adaptation du header pour afficher soit le formulaire de connexion + lien d’inscription, soit l’utilisateur connecté + bouton de déconnexion.</t>
  </si>
  <si>
    <t>Mise à jour des contrôleurs Decks et Flashcards pour transmettre auth aux vues et permettre un affichage cohérent de l’interface selon l’état de connexion.</t>
  </si>
  <si>
    <t>Réorganisation des routes avec séparation publiques / guest / auth, ajout des routes d’authentification (login/signup/logout), et regroupement des routes privées (CRUD decks + flashcards + publish/unpublish) sous middleware auth.</t>
  </si>
  <si>
    <t>Création des vues login.edge et signup.edge, ajout d’une vue minimale play.edge, et ajustements des vues decks/flashcards pour utiliser les routes mises à jour et éviter les erreurs de lookup (decks.index → home).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</si>
</sst>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8" x14ac:knownFonts="1">
    <font>
      <sz val="10"/>
      <name val="Century Gothic"/>
      <family val="2"/>
      <scheme val="minor"/>
    </font>
    <font>
      <u/>
      <sz val="10"/>
      <color indexed="12"/>
      <name val="Arial"/>
      <family val="2"/>
    </font>
    <font>
      <sz val="14"/>
      <name val="Verdana"/>
      <family val="2"/>
    </font>
    <font>
      <b/>
      <sz val="14"/>
      <name val="Verdana"/>
      <family val="2"/>
    </font>
    <font>
      <sz val="10"/>
      <name val="Arial"/>
      <family val="2"/>
    </font>
    <font>
      <sz val="10"/>
      <color theme="1"/>
      <name val="Century Gothic"/>
      <family val="2"/>
      <scheme val="minor"/>
    </font>
    <font>
      <b/>
      <sz val="12"/>
      <name val="Century Gothic"/>
      <family val="2"/>
      <scheme val="minor"/>
    </font>
    <font>
      <b/>
      <sz val="14"/>
      <name val="Century Gothic"/>
      <family val="2"/>
      <scheme val="minor"/>
    </font>
    <font>
      <sz val="10"/>
      <name val="Century Gothic"/>
      <family val="2"/>
      <scheme val="minor"/>
    </font>
    <font>
      <b/>
      <sz val="10"/>
      <name val="Century Gothic"/>
      <family val="2"/>
      <scheme val="minor"/>
    </font>
    <font>
      <sz val="9"/>
      <name val="Century Gothic"/>
      <family val="2"/>
      <scheme val="minor"/>
    </font>
    <font>
      <b/>
      <sz val="9"/>
      <name val="Century Gothic"/>
      <family val="2"/>
      <scheme val="minor"/>
    </font>
    <font>
      <i/>
      <sz val="10"/>
      <name val="Arial"/>
      <family val="2"/>
    </font>
    <font>
      <sz val="10"/>
      <color rgb="FFFF0000"/>
      <name val="Century Gothic"/>
      <family val="2"/>
      <scheme val="minor"/>
    </font>
    <font>
      <b/>
      <sz val="16"/>
      <name val="Century Gothic"/>
      <family val="2"/>
      <scheme val="minor"/>
    </font>
    <font>
      <sz val="16"/>
      <name val="Century Gothic"/>
      <family val="2"/>
      <scheme val="minor"/>
    </font>
    <font>
      <sz val="10"/>
      <color theme="0"/>
      <name val="Century Gothic"/>
      <family val="2"/>
      <scheme val="minor"/>
    </font>
    <font>
      <i/>
      <sz val="10"/>
      <name val="Century Gothic"/>
      <family val="2"/>
      <scheme val="minor"/>
    </font>
  </fonts>
  <fills count="14">
    <fill>
      <patternFill patternType="none"/>
    </fill>
    <fill>
      <patternFill patternType="gray125"/>
    </fill>
    <fill>
      <patternFill patternType="solid">
        <fgColor theme="3" tint="0.79998168889431442"/>
        <bgColor indexed="64"/>
      </patternFill>
    </fill>
    <fill>
      <patternFill patternType="solid">
        <fgColor theme="3" tint="0.59999389629810485"/>
        <bgColor indexed="64"/>
      </patternFill>
    </fill>
    <fill>
      <patternFill patternType="solid">
        <fgColor theme="8" tint="0.59999389629810485"/>
        <bgColor indexed="64"/>
      </patternFill>
    </fill>
    <fill>
      <patternFill patternType="solid">
        <fgColor theme="4"/>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0"/>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5" tint="0.79998168889431442"/>
        <bgColor indexed="64"/>
      </patternFill>
    </fill>
  </fills>
  <borders count="35">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style="medium">
        <color indexed="64"/>
      </left>
      <right style="medium">
        <color indexed="64"/>
      </right>
      <top style="dashed">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dashed">
        <color indexed="64"/>
      </bottom>
      <diagonal/>
    </border>
    <border>
      <left style="medium">
        <color indexed="64"/>
      </left>
      <right/>
      <top style="dashed">
        <color indexed="64"/>
      </top>
      <bottom style="dashed">
        <color indexed="64"/>
      </bottom>
      <diagonal/>
    </border>
    <border>
      <left style="medium">
        <color indexed="64"/>
      </left>
      <right/>
      <top style="dashed">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style="medium">
        <color indexed="64"/>
      </bottom>
      <diagonal/>
    </border>
    <border>
      <left style="medium">
        <color indexed="64"/>
      </left>
      <right/>
      <top/>
      <bottom style="dashed">
        <color indexed="64"/>
      </bottom>
      <diagonal/>
    </border>
    <border>
      <left style="thin">
        <color indexed="64"/>
      </left>
      <right style="medium">
        <color indexed="64"/>
      </right>
      <top/>
      <bottom style="dashed">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thin">
        <color indexed="64"/>
      </bottom>
      <diagonal/>
    </border>
    <border>
      <left style="medium">
        <color indexed="64"/>
      </left>
      <right style="medium">
        <color indexed="64"/>
      </right>
      <top style="thin">
        <color indexed="64"/>
      </top>
      <bottom style="hair">
        <color indexed="64"/>
      </bottom>
      <diagonal/>
    </border>
    <border>
      <left style="medium">
        <color indexed="64"/>
      </left>
      <right/>
      <top style="thin">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style="dashed">
        <color indexed="64"/>
      </top>
      <bottom style="thin">
        <color indexed="64"/>
      </bottom>
      <diagonal/>
    </border>
  </borders>
  <cellStyleXfs count="4">
    <xf numFmtId="0" fontId="0" fillId="0" borderId="0"/>
    <xf numFmtId="0" fontId="1" fillId="0" borderId="0" applyNumberFormat="0" applyFill="0" applyBorder="0" applyAlignment="0" applyProtection="0">
      <alignment vertical="top"/>
      <protection locked="0"/>
    </xf>
    <xf numFmtId="0" fontId="8" fillId="0" borderId="0"/>
    <xf numFmtId="0" fontId="5" fillId="0" borderId="0"/>
  </cellStyleXfs>
  <cellXfs count="104">
    <xf numFmtId="0" fontId="0" fillId="0" borderId="0" xfId="0"/>
    <xf numFmtId="0" fontId="8" fillId="0" borderId="2" xfId="1" applyFont="1" applyFill="1" applyBorder="1" applyAlignment="1" applyProtection="1">
      <alignment horizontal="center" vertical="center" wrapText="1"/>
      <protection locked="0"/>
    </xf>
    <xf numFmtId="0" fontId="8" fillId="0" borderId="2" xfId="0" applyFont="1" applyBorder="1" applyAlignment="1" applyProtection="1">
      <alignment horizontal="center" vertical="center" wrapText="1"/>
      <protection locked="0"/>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1" xfId="1" applyFont="1" applyFill="1" applyBorder="1" applyAlignment="1" applyProtection="1">
      <alignment horizontal="center" vertical="center" wrapText="1"/>
      <protection locked="0"/>
    </xf>
    <xf numFmtId="0" fontId="6" fillId="2" borderId="14" xfId="0" applyFont="1" applyFill="1" applyBorder="1" applyAlignment="1">
      <alignment horizontal="center" vertical="center"/>
    </xf>
    <xf numFmtId="0" fontId="7" fillId="2" borderId="12" xfId="0" quotePrefix="1" applyFont="1" applyFill="1" applyBorder="1" applyAlignment="1">
      <alignment horizontal="centerContinuous" vertical="center"/>
    </xf>
    <xf numFmtId="0" fontId="6" fillId="3" borderId="15" xfId="0" applyFont="1" applyFill="1" applyBorder="1" applyAlignment="1">
      <alignment horizontal="center" vertical="center"/>
    </xf>
    <xf numFmtId="0" fontId="8" fillId="0" borderId="1" xfId="0" applyFont="1" applyBorder="1" applyAlignment="1" applyProtection="1">
      <alignment horizontal="left" vertical="top" wrapText="1"/>
      <protection locked="0"/>
    </xf>
    <xf numFmtId="0" fontId="8" fillId="0" borderId="2" xfId="0" applyFont="1" applyBorder="1" applyAlignment="1" applyProtection="1">
      <alignment horizontal="left" vertical="top" wrapText="1"/>
      <protection locked="0"/>
    </xf>
    <xf numFmtId="0" fontId="8" fillId="0" borderId="3" xfId="0" applyFont="1" applyBorder="1" applyAlignment="1" applyProtection="1">
      <alignment horizontal="left" vertical="top" wrapText="1"/>
      <protection locked="0"/>
    </xf>
    <xf numFmtId="0" fontId="8" fillId="4" borderId="15" xfId="0" applyFont="1" applyFill="1" applyBorder="1" applyAlignment="1">
      <alignment horizontal="center" vertical="center" wrapText="1"/>
    </xf>
    <xf numFmtId="0" fontId="8" fillId="4" borderId="13" xfId="0" applyFont="1" applyFill="1" applyBorder="1" applyAlignment="1">
      <alignment horizontal="left" vertical="top" wrapText="1"/>
    </xf>
    <xf numFmtId="0" fontId="10" fillId="5" borderId="0" xfId="0" applyFont="1" applyFill="1" applyAlignment="1">
      <alignment horizontal="center"/>
    </xf>
    <xf numFmtId="0" fontId="3" fillId="6" borderId="15" xfId="0" applyFont="1" applyFill="1" applyBorder="1" applyAlignment="1">
      <alignment horizontal="center" vertical="center" wrapText="1"/>
    </xf>
    <xf numFmtId="1" fontId="2" fillId="7" borderId="27" xfId="0" applyNumberFormat="1" applyFont="1" applyFill="1" applyBorder="1" applyAlignment="1">
      <alignment horizontal="center" vertical="center"/>
    </xf>
    <xf numFmtId="0" fontId="6" fillId="2" borderId="14" xfId="0" applyFont="1" applyFill="1" applyBorder="1" applyAlignment="1">
      <alignment horizontal="right" vertical="center"/>
    </xf>
    <xf numFmtId="0" fontId="11" fillId="3" borderId="15" xfId="0" applyFont="1" applyFill="1" applyBorder="1" applyAlignment="1">
      <alignment horizontal="center" vertical="center" wrapText="1"/>
    </xf>
    <xf numFmtId="0" fontId="0" fillId="9" borderId="9" xfId="0" applyFill="1" applyBorder="1"/>
    <xf numFmtId="0" fontId="0" fillId="9" borderId="0" xfId="0" applyFill="1"/>
    <xf numFmtId="0" fontId="0" fillId="9" borderId="5" xfId="0" applyFill="1" applyBorder="1"/>
    <xf numFmtId="1" fontId="2" fillId="7" borderId="28" xfId="0" applyNumberFormat="1" applyFont="1" applyFill="1" applyBorder="1" applyAlignment="1">
      <alignment horizontal="center" vertical="center"/>
    </xf>
    <xf numFmtId="0" fontId="3" fillId="6" borderId="15" xfId="0" applyFont="1" applyFill="1" applyBorder="1" applyAlignment="1">
      <alignment horizontal="center" vertical="center"/>
    </xf>
    <xf numFmtId="0" fontId="12" fillId="0" borderId="0" xfId="0" applyFont="1"/>
    <xf numFmtId="0" fontId="3" fillId="10" borderId="30" xfId="0" applyFont="1" applyFill="1" applyBorder="1" applyAlignment="1">
      <alignment horizontal="right" vertical="center" wrapText="1" indent="1"/>
    </xf>
    <xf numFmtId="0" fontId="3" fillId="10" borderId="31" xfId="0" applyFont="1" applyFill="1" applyBorder="1" applyAlignment="1">
      <alignment horizontal="right" vertical="center" indent="1"/>
    </xf>
    <xf numFmtId="1" fontId="3" fillId="10" borderId="29" xfId="0" applyNumberFormat="1" applyFont="1" applyFill="1" applyBorder="1" applyAlignment="1">
      <alignment horizontal="center" vertical="center"/>
    </xf>
    <xf numFmtId="1" fontId="3" fillId="10" borderId="32" xfId="0" applyNumberFormat="1" applyFont="1" applyFill="1" applyBorder="1" applyAlignment="1">
      <alignment horizontal="center" vertical="center"/>
    </xf>
    <xf numFmtId="0" fontId="0" fillId="9" borderId="8" xfId="0" applyFill="1" applyBorder="1"/>
    <xf numFmtId="0" fontId="6" fillId="9" borderId="0" xfId="0" applyFont="1" applyFill="1" applyAlignment="1">
      <alignment horizontal="center" vertical="center"/>
    </xf>
    <xf numFmtId="0" fontId="7" fillId="9" borderId="0" xfId="0" quotePrefix="1" applyFont="1" applyFill="1" applyAlignment="1">
      <alignment horizontal="centerContinuous" vertical="center"/>
    </xf>
    <xf numFmtId="0" fontId="6" fillId="9" borderId="0" xfId="0" applyFont="1" applyFill="1" applyAlignment="1">
      <alignment horizontal="right" vertical="center"/>
    </xf>
    <xf numFmtId="0" fontId="7" fillId="9" borderId="0" xfId="0" applyFont="1" applyFill="1" applyAlignment="1">
      <alignment horizontal="left" vertical="center"/>
    </xf>
    <xf numFmtId="0" fontId="11" fillId="9" borderId="0" xfId="0" applyFont="1" applyFill="1" applyAlignment="1">
      <alignment horizontal="center" vertical="center" wrapText="1"/>
    </xf>
    <xf numFmtId="0" fontId="8" fillId="9" borderId="0" xfId="1" applyFont="1" applyFill="1" applyBorder="1" applyAlignment="1" applyProtection="1">
      <alignment horizontal="center" vertical="center" wrapText="1"/>
      <protection locked="0"/>
    </xf>
    <xf numFmtId="0" fontId="8" fillId="9" borderId="0" xfId="0" applyFont="1" applyFill="1" applyAlignment="1" applyProtection="1">
      <alignment horizontal="center" vertical="center" wrapText="1"/>
      <protection locked="0"/>
    </xf>
    <xf numFmtId="0" fontId="8" fillId="9" borderId="0" xfId="0" applyFont="1" applyFill="1" applyAlignment="1" applyProtection="1">
      <alignment horizontal="left" vertical="top" wrapText="1"/>
      <protection locked="0"/>
    </xf>
    <xf numFmtId="0" fontId="8" fillId="9" borderId="0" xfId="0" applyFont="1" applyFill="1" applyAlignment="1">
      <alignment horizontal="center" vertical="center" wrapText="1"/>
    </xf>
    <xf numFmtId="0" fontId="8" fillId="9" borderId="0" xfId="0" applyFont="1" applyFill="1" applyAlignment="1">
      <alignment horizontal="left" vertical="top" wrapText="1"/>
    </xf>
    <xf numFmtId="0" fontId="10" fillId="9" borderId="0" xfId="0" applyFont="1" applyFill="1" applyAlignment="1">
      <alignment horizontal="center"/>
    </xf>
    <xf numFmtId="0" fontId="4" fillId="9" borderId="0" xfId="0" applyFont="1" applyFill="1"/>
    <xf numFmtId="0" fontId="6" fillId="13" borderId="14" xfId="0" applyFont="1" applyFill="1" applyBorder="1" applyAlignment="1">
      <alignment horizontal="center" vertical="center"/>
    </xf>
    <xf numFmtId="0" fontId="7" fillId="13" borderId="12" xfId="0" quotePrefix="1" applyFont="1" applyFill="1" applyBorder="1" applyAlignment="1">
      <alignment horizontal="centerContinuous" vertical="center"/>
    </xf>
    <xf numFmtId="0" fontId="6" fillId="13" borderId="14" xfId="0" applyFont="1" applyFill="1" applyBorder="1" applyAlignment="1">
      <alignment horizontal="right" vertical="center"/>
    </xf>
    <xf numFmtId="0" fontId="6" fillId="12" borderId="15" xfId="0" applyFont="1" applyFill="1" applyBorder="1" applyAlignment="1">
      <alignment horizontal="center" vertical="center"/>
    </xf>
    <xf numFmtId="0" fontId="11" fillId="12" borderId="15" xfId="0" applyFont="1" applyFill="1" applyBorder="1" applyAlignment="1">
      <alignment horizontal="center" vertical="center" wrapText="1"/>
    </xf>
    <xf numFmtId="0" fontId="8" fillId="12" borderId="15" xfId="0" applyFont="1" applyFill="1" applyBorder="1" applyAlignment="1">
      <alignment horizontal="center" vertical="center" wrapText="1"/>
    </xf>
    <xf numFmtId="0" fontId="8" fillId="12" borderId="13" xfId="0" applyFont="1" applyFill="1" applyBorder="1" applyAlignment="1">
      <alignment horizontal="left" vertical="top" wrapText="1"/>
    </xf>
    <xf numFmtId="0" fontId="10" fillId="11" borderId="0" xfId="0" applyFont="1" applyFill="1" applyAlignment="1">
      <alignment horizontal="center"/>
    </xf>
    <xf numFmtId="0" fontId="8" fillId="0" borderId="33" xfId="0" applyFont="1" applyBorder="1" applyAlignment="1" applyProtection="1">
      <alignment horizontal="center" vertical="center" wrapText="1"/>
      <protection locked="0"/>
    </xf>
    <xf numFmtId="0" fontId="8" fillId="0" borderId="33" xfId="0" applyFont="1" applyBorder="1" applyAlignment="1" applyProtection="1">
      <alignment horizontal="left" vertical="top" wrapText="1"/>
      <protection locked="0"/>
    </xf>
    <xf numFmtId="0" fontId="0" fillId="9" borderId="0" xfId="0" applyFill="1" applyProtection="1">
      <protection locked="0"/>
    </xf>
    <xf numFmtId="164" fontId="7" fillId="13" borderId="13" xfId="0" applyNumberFormat="1" applyFont="1" applyFill="1" applyBorder="1" applyAlignment="1" applyProtection="1">
      <alignment horizontal="left" vertical="center"/>
      <protection locked="0"/>
    </xf>
    <xf numFmtId="0" fontId="13" fillId="9" borderId="6" xfId="0" applyFont="1" applyFill="1" applyBorder="1"/>
    <xf numFmtId="0" fontId="8" fillId="9" borderId="4" xfId="0" applyFont="1" applyFill="1" applyBorder="1"/>
    <xf numFmtId="0" fontId="8" fillId="9" borderId="7" xfId="0" applyFont="1" applyFill="1" applyBorder="1"/>
    <xf numFmtId="0" fontId="8" fillId="0" borderId="0" xfId="0" applyFont="1"/>
    <xf numFmtId="0" fontId="13" fillId="9" borderId="8" xfId="0" applyFont="1" applyFill="1" applyBorder="1"/>
    <xf numFmtId="0" fontId="8" fillId="9" borderId="0" xfId="0" applyFont="1" applyFill="1"/>
    <xf numFmtId="0" fontId="8" fillId="9" borderId="9" xfId="0" applyFont="1" applyFill="1" applyBorder="1"/>
    <xf numFmtId="0" fontId="14" fillId="6" borderId="16" xfId="0" applyFont="1" applyFill="1" applyBorder="1" applyAlignment="1">
      <alignment vertical="center"/>
    </xf>
    <xf numFmtId="0" fontId="15" fillId="8" borderId="21" xfId="0" applyFont="1" applyFill="1" applyBorder="1" applyAlignment="1" applyProtection="1">
      <alignment horizontal="left" vertical="center" indent="2"/>
      <protection locked="0"/>
    </xf>
    <xf numFmtId="0" fontId="14" fillId="6" borderId="17" xfId="0" applyFont="1" applyFill="1" applyBorder="1" applyAlignment="1">
      <alignment vertical="center"/>
    </xf>
    <xf numFmtId="0" fontId="15" fillId="8" borderId="22" xfId="0" applyFont="1" applyFill="1" applyBorder="1" applyAlignment="1" applyProtection="1">
      <alignment horizontal="left" vertical="center" indent="2"/>
      <protection locked="0"/>
    </xf>
    <xf numFmtId="0" fontId="14" fillId="6" borderId="18" xfId="0" applyFont="1" applyFill="1" applyBorder="1" applyAlignment="1">
      <alignment vertical="center"/>
    </xf>
    <xf numFmtId="0" fontId="15" fillId="8" borderId="23" xfId="0" applyFont="1" applyFill="1" applyBorder="1" applyAlignment="1" applyProtection="1">
      <alignment horizontal="left" vertical="center" indent="2"/>
      <protection locked="0"/>
    </xf>
    <xf numFmtId="164" fontId="15" fillId="8" borderId="21" xfId="0" applyNumberFormat="1" applyFont="1" applyFill="1" applyBorder="1" applyAlignment="1" applyProtection="1">
      <alignment horizontal="left" vertical="center" indent="2"/>
      <protection locked="0"/>
    </xf>
    <xf numFmtId="0" fontId="14" fillId="6" borderId="24" xfId="0" applyFont="1" applyFill="1" applyBorder="1" applyAlignment="1">
      <alignment vertical="center"/>
    </xf>
    <xf numFmtId="164" fontId="15" fillId="8" borderId="25" xfId="0" applyNumberFormat="1" applyFont="1" applyFill="1" applyBorder="1" applyAlignment="1" applyProtection="1">
      <alignment horizontal="left" vertical="center" indent="2"/>
      <protection locked="0"/>
    </xf>
    <xf numFmtId="1" fontId="15" fillId="8" borderId="25" xfId="0" applyNumberFormat="1" applyFont="1" applyFill="1" applyBorder="1" applyAlignment="1" applyProtection="1">
      <alignment horizontal="left" vertical="center" indent="2"/>
      <protection locked="0"/>
    </xf>
    <xf numFmtId="1" fontId="15" fillId="8" borderId="22" xfId="0" applyNumberFormat="1" applyFont="1" applyFill="1" applyBorder="1" applyAlignment="1" applyProtection="1">
      <alignment horizontal="left" vertical="center" indent="2"/>
      <protection locked="0"/>
    </xf>
    <xf numFmtId="0" fontId="15" fillId="6" borderId="10" xfId="0" applyFont="1" applyFill="1" applyBorder="1" applyAlignment="1">
      <alignment vertical="center"/>
    </xf>
    <xf numFmtId="0" fontId="15" fillId="8" borderId="26" xfId="0" applyFont="1" applyFill="1" applyBorder="1" applyAlignment="1">
      <alignment vertical="center"/>
    </xf>
    <xf numFmtId="0" fontId="13" fillId="9" borderId="10" xfId="0" applyFont="1" applyFill="1" applyBorder="1"/>
    <xf numFmtId="0" fontId="8" fillId="9" borderId="5" xfId="0" applyFont="1" applyFill="1" applyBorder="1"/>
    <xf numFmtId="0" fontId="8" fillId="9" borderId="11" xfId="0" applyFont="1" applyFill="1" applyBorder="1"/>
    <xf numFmtId="0" fontId="8" fillId="9" borderId="6" xfId="0" applyFont="1" applyFill="1" applyBorder="1"/>
    <xf numFmtId="0" fontId="8" fillId="9" borderId="8" xfId="0" applyFont="1" applyFill="1" applyBorder="1"/>
    <xf numFmtId="0" fontId="14" fillId="6" borderId="24" xfId="0" applyFont="1" applyFill="1" applyBorder="1" applyAlignment="1">
      <alignment horizontal="right" vertical="center"/>
    </xf>
    <xf numFmtId="164" fontId="15" fillId="6" borderId="25" xfId="0" applyNumberFormat="1" applyFont="1" applyFill="1" applyBorder="1" applyAlignment="1">
      <alignment horizontal="left" vertical="center" indent="2"/>
    </xf>
    <xf numFmtId="0" fontId="14" fillId="6" borderId="17" xfId="0" applyFont="1" applyFill="1" applyBorder="1" applyAlignment="1">
      <alignment horizontal="right" vertical="center"/>
    </xf>
    <xf numFmtId="0" fontId="8" fillId="9" borderId="10" xfId="0" applyFont="1" applyFill="1" applyBorder="1"/>
    <xf numFmtId="0" fontId="7" fillId="2" borderId="13" xfId="0" applyFont="1" applyFill="1" applyBorder="1" applyAlignment="1" applyProtection="1">
      <alignment horizontal="left" vertical="center"/>
      <protection locked="0"/>
    </xf>
    <xf numFmtId="0" fontId="16" fillId="9" borderId="0" xfId="0" applyFont="1" applyFill="1"/>
    <xf numFmtId="0" fontId="9" fillId="12" borderId="13" xfId="0" applyFont="1" applyFill="1" applyBorder="1" applyAlignment="1">
      <alignment horizontal="left" vertical="top" wrapText="1"/>
    </xf>
    <xf numFmtId="0" fontId="0" fillId="0" borderId="1" xfId="0" applyBorder="1" applyAlignment="1" applyProtection="1">
      <alignment horizontal="left" vertical="top" wrapText="1"/>
      <protection locked="0"/>
    </xf>
    <xf numFmtId="0" fontId="0" fillId="0" borderId="2" xfId="0" applyBorder="1" applyAlignment="1" applyProtection="1">
      <alignment horizontal="left" vertical="top" wrapText="1"/>
      <protection locked="0"/>
    </xf>
    <xf numFmtId="0" fontId="1" fillId="0" borderId="1" xfId="1" applyFill="1" applyBorder="1" applyAlignment="1" applyProtection="1">
      <alignment horizontal="left" vertical="top" wrapText="1"/>
      <protection locked="0"/>
    </xf>
    <xf numFmtId="0" fontId="1" fillId="0" borderId="0" xfId="1" applyAlignment="1" applyProtection="1">
      <alignment wrapText="1"/>
    </xf>
    <xf numFmtId="0" fontId="1" fillId="0" borderId="2" xfId="1" applyBorder="1" applyAlignment="1" applyProtection="1">
      <alignment horizontal="left" vertical="top" wrapText="1"/>
      <protection locked="0"/>
    </xf>
    <xf numFmtId="0" fontId="9" fillId="0" borderId="1" xfId="0" applyFont="1" applyBorder="1" applyAlignment="1" applyProtection="1">
      <alignment horizontal="left" vertical="top" wrapText="1"/>
      <protection locked="0"/>
    </xf>
    <xf numFmtId="0" fontId="14" fillId="6" borderId="14" xfId="0" applyFont="1" applyFill="1" applyBorder="1" applyAlignment="1">
      <alignment horizontal="center" vertical="center"/>
    </xf>
    <xf numFmtId="0" fontId="14" fillId="6" borderId="13" xfId="0" applyFont="1" applyFill="1" applyBorder="1" applyAlignment="1">
      <alignment horizontal="center" vertical="center"/>
    </xf>
    <xf numFmtId="0" fontId="2" fillId="7" borderId="20" xfId="0" applyFont="1" applyFill="1" applyBorder="1" applyAlignment="1">
      <alignment horizontal="left" vertical="center" indent="1"/>
    </xf>
    <xf numFmtId="0" fontId="0" fillId="7" borderId="19" xfId="0" applyFill="1" applyBorder="1"/>
    <xf numFmtId="0" fontId="0" fillId="0" borderId="2" xfId="0" applyFont="1" applyBorder="1" applyAlignment="1" applyProtection="1">
      <alignment horizontal="left" vertical="top" wrapText="1"/>
      <protection locked="0"/>
    </xf>
    <xf numFmtId="0" fontId="9" fillId="0" borderId="2" xfId="0" applyFont="1" applyBorder="1" applyAlignment="1" applyProtection="1">
      <alignment horizontal="left" vertical="top" wrapText="1"/>
      <protection locked="0"/>
    </xf>
    <xf numFmtId="0" fontId="6" fillId="0" borderId="2" xfId="0" applyFont="1" applyBorder="1" applyAlignment="1" applyProtection="1">
      <alignment horizontal="center" vertical="top" wrapText="1"/>
      <protection locked="0"/>
    </xf>
    <xf numFmtId="0" fontId="0" fillId="9" borderId="0" xfId="0" applyFill="1" applyAlignment="1">
      <alignment wrapText="1"/>
    </xf>
    <xf numFmtId="0" fontId="0" fillId="0" borderId="2" xfId="0" applyFont="1" applyBorder="1" applyAlignment="1" applyProtection="1">
      <alignment horizontal="center" vertical="center" wrapText="1"/>
      <protection locked="0"/>
    </xf>
    <xf numFmtId="0" fontId="0" fillId="9" borderId="34" xfId="0" applyFill="1" applyBorder="1" applyAlignment="1">
      <alignment wrapText="1"/>
    </xf>
    <xf numFmtId="0" fontId="0" fillId="0" borderId="33" xfId="0" applyFont="1" applyBorder="1" applyAlignment="1" applyProtection="1">
      <alignment horizontal="left" vertical="top" wrapText="1"/>
      <protection locked="0"/>
    </xf>
    <xf numFmtId="0" fontId="0" fillId="0" borderId="3" xfId="0" applyFont="1" applyBorder="1" applyAlignment="1" applyProtection="1">
      <alignment horizontal="left" vertical="top" wrapText="1"/>
      <protection locked="0"/>
    </xf>
  </cellXfs>
  <cellStyles count="4">
    <cellStyle name="Lien hypertexte" xfId="1" builtinId="8"/>
    <cellStyle name="Normal" xfId="0" builtinId="0" customBuiltin="1"/>
    <cellStyle name="Normal 2" xfId="2" xr:uid="{00000000-0005-0000-0000-000002000000}"/>
    <cellStyle name="Normal 2 2" xfId="3" xr:uid="{00000000-0005-0000-0000-000003000000}"/>
  </cellStyles>
  <dxfs count="0"/>
  <tableStyles count="0" defaultTableStyle="TableStyleMedium9" defaultPivotStyle="PivotStyleLight16"/>
  <colors>
    <mruColors>
      <color rgb="FF28663D"/>
      <color rgb="FF1B952A"/>
      <color rgb="FF20B2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activeX1.xml><?xml version="1.0" encoding="utf-8"?>
<ax:ocx xmlns:ax="http://schemas.microsoft.com/office/2006/activeX" xmlns:r="http://schemas.openxmlformats.org/officeDocument/2006/relationships" ax:classid="{D7053240-CE69-11CD-A777-00DD01143C57}" ax:persistence="persistStreamInit" r:id="rId1"/>
</file>

<file path=xl/activeX/activeX2.xml><?xml version="1.0" encoding="utf-8"?>
<ax:ocx xmlns:ax="http://schemas.microsoft.com/office/2006/activeX" xmlns:r="http://schemas.openxmlformats.org/officeDocument/2006/relationships" ax:classid="{D7053240-CE69-11CD-A777-00DD01143C57}" ax:persistence="persistStreamInit" r:id="rId1"/>
</file>

<file path=xl/activeX/activeX3.xml><?xml version="1.0" encoding="utf-8"?>
<ax:ocx xmlns:ax="http://schemas.microsoft.com/office/2006/activeX" xmlns:r="http://schemas.openxmlformats.org/officeDocument/2006/relationships" ax:classid="{D7053240-CE69-11CD-A777-00DD01143C57}" ax:persistence="persistStreamInit" r:id="rId1"/>
</file>

<file path=xl/activeX/activeX4.xml><?xml version="1.0" encoding="utf-8"?>
<ax:ocx xmlns:ax="http://schemas.microsoft.com/office/2006/activeX" xmlns:r="http://schemas.openxmlformats.org/officeDocument/2006/relationships" ax:classid="{D7053240-CE69-11CD-A777-00DD01143C57}" ax:persistence="persistStreamInit" r:id="rId1"/>
</file>

<file path=xl/activeX/activeX5.xml><?xml version="1.0" encoding="utf-8"?>
<ax:ocx xmlns:ax="http://schemas.microsoft.com/office/2006/activeX" xmlns:r="http://schemas.openxmlformats.org/officeDocument/2006/relationships" ax:classid="{D7053240-CE69-11CD-A777-00DD01143C57}" ax:persistence="persistStreamInit" r:id="rId1"/>
</file>

<file path=xl/activeX/activeX6.xml><?xml version="1.0" encoding="utf-8"?>
<ax:ocx xmlns:ax="http://schemas.microsoft.com/office/2006/activeX" xmlns:r="http://schemas.openxmlformats.org/officeDocument/2006/relationships" ax:classid="{D7053240-CE69-11CD-A777-00DD01143C57}" ax:persistence="persistStreamInit" r:id="rId1"/>
</file>

<file path=xl/drawings/_rels/vmlDrawing1.v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1.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5.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7.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7620</xdr:colOff>
          <xdr:row>1</xdr:row>
          <xdr:rowOff>160020</xdr:rowOff>
        </xdr:from>
        <xdr:to>
          <xdr:col>6</xdr:col>
          <xdr:colOff>76200</xdr:colOff>
          <xdr:row>3</xdr:row>
          <xdr:rowOff>205740</xdr:rowOff>
        </xdr:to>
        <xdr:sp macro="" textlink="">
          <xdr:nvSpPr>
            <xdr:cNvPr id="15362" name="btnCreateDiagram" hidden="1">
              <a:extLst>
                <a:ext uri="{63B3BB69-23CF-44E3-9099-C40C66FF867C}">
                  <a14:compatExt spid="_x0000_s15362"/>
                </a:ext>
                <a:ext uri="{FF2B5EF4-FFF2-40B4-BE49-F238E27FC236}">
                  <a16:creationId xmlns:a16="http://schemas.microsoft.com/office/drawing/2014/main" id="{00000000-0008-0000-0000-000002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7620</xdr:colOff>
          <xdr:row>5</xdr:row>
          <xdr:rowOff>7620</xdr:rowOff>
        </xdr:from>
        <xdr:to>
          <xdr:col>6</xdr:col>
          <xdr:colOff>95250</xdr:colOff>
          <xdr:row>7</xdr:row>
          <xdr:rowOff>53340</xdr:rowOff>
        </xdr:to>
        <xdr:sp macro="" textlink="">
          <xdr:nvSpPr>
            <xdr:cNvPr id="15364" name="btnCreatePlanning" hidden="1">
              <a:extLst>
                <a:ext uri="{63B3BB69-23CF-44E3-9099-C40C66FF867C}">
                  <a14:compatExt spid="_x0000_s15364"/>
                </a:ext>
                <a:ext uri="{FF2B5EF4-FFF2-40B4-BE49-F238E27FC236}">
                  <a16:creationId xmlns:a16="http://schemas.microsoft.com/office/drawing/2014/main" id="{00000000-0008-0000-0000-000004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7620</xdr:colOff>
          <xdr:row>8</xdr:row>
          <xdr:rowOff>190500</xdr:rowOff>
        </xdr:from>
        <xdr:to>
          <xdr:col>6</xdr:col>
          <xdr:colOff>114300</xdr:colOff>
          <xdr:row>10</xdr:row>
          <xdr:rowOff>152400</xdr:rowOff>
        </xdr:to>
        <xdr:sp macro="" textlink="">
          <xdr:nvSpPr>
            <xdr:cNvPr id="15365" name="btnCreateWorkSheet" hidden="1">
              <a:extLst>
                <a:ext uri="{63B3BB69-23CF-44E3-9099-C40C66FF867C}">
                  <a14:compatExt spid="_x0000_s15365"/>
                </a:ext>
                <a:ext uri="{FF2B5EF4-FFF2-40B4-BE49-F238E27FC236}">
                  <a16:creationId xmlns:a16="http://schemas.microsoft.com/office/drawing/2014/main" id="{00000000-0008-0000-0000-000005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594360</xdr:colOff>
          <xdr:row>0</xdr:row>
          <xdr:rowOff>182880</xdr:rowOff>
        </xdr:from>
        <xdr:to>
          <xdr:col>7</xdr:col>
          <xdr:colOff>259080</xdr:colOff>
          <xdr:row>2</xdr:row>
          <xdr:rowOff>152400</xdr:rowOff>
        </xdr:to>
        <xdr:sp macro="" textlink="">
          <xdr:nvSpPr>
            <xdr:cNvPr id="18438" name="btnImportPlanification"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594360</xdr:colOff>
          <xdr:row>0</xdr:row>
          <xdr:rowOff>182880</xdr:rowOff>
        </xdr:from>
        <xdr:to>
          <xdr:col>7</xdr:col>
          <xdr:colOff>259080</xdr:colOff>
          <xdr:row>2</xdr:row>
          <xdr:rowOff>152400</xdr:rowOff>
        </xdr:to>
        <xdr:sp macro="" textlink="">
          <xdr:nvSpPr>
            <xdr:cNvPr id="38913" name="btnImportRealisation" hidden="1">
              <a:extLst>
                <a:ext uri="{63B3BB69-23CF-44E3-9099-C40C66FF867C}">
                  <a14:compatExt spid="_x0000_s38913"/>
                </a:ext>
                <a:ext uri="{FF2B5EF4-FFF2-40B4-BE49-F238E27FC236}">
                  <a16:creationId xmlns:a16="http://schemas.microsoft.com/office/drawing/2014/main" id="{00000000-0008-0000-0400-0000019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594360</xdr:colOff>
          <xdr:row>0</xdr:row>
          <xdr:rowOff>182880</xdr:rowOff>
        </xdr:from>
        <xdr:to>
          <xdr:col>7</xdr:col>
          <xdr:colOff>245745</xdr:colOff>
          <xdr:row>2</xdr:row>
          <xdr:rowOff>152400</xdr:rowOff>
        </xdr:to>
        <xdr:sp macro="" textlink="">
          <xdr:nvSpPr>
            <xdr:cNvPr id="43009" name="btnImportRealisation" hidden="1">
              <a:extLst>
                <a:ext uri="{63B3BB69-23CF-44E3-9099-C40C66FF867C}">
                  <a14:compatExt spid="_x0000_s43009"/>
                </a:ext>
                <a:ext uri="{FF2B5EF4-FFF2-40B4-BE49-F238E27FC236}">
                  <a16:creationId xmlns:a16="http://schemas.microsoft.com/office/drawing/2014/main" id="{00000000-0008-0000-0500-000001A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hèmeGGZExcel">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GGZ">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vmlDrawing" Target="../drawings/vmlDrawing1.vml"/><Relationship Id="rId7" Type="http://schemas.openxmlformats.org/officeDocument/2006/relationships/control" Target="../activeX/activeX2.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image" Target="../media/image1.emf"/><Relationship Id="rId5" Type="http://schemas.openxmlformats.org/officeDocument/2006/relationships/control" Target="../activeX/activeX1.xml"/><Relationship Id="rId10" Type="http://schemas.openxmlformats.org/officeDocument/2006/relationships/image" Target="../media/image3.emf"/><Relationship Id="rId4" Type="http://schemas.openxmlformats.org/officeDocument/2006/relationships/vmlDrawing" Target="../drawings/vmlDrawing2.vml"/><Relationship Id="rId9" Type="http://schemas.openxmlformats.org/officeDocument/2006/relationships/control" Target="../activeX/activeX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image" Target="../media/image5.emf"/><Relationship Id="rId4" Type="http://schemas.openxmlformats.org/officeDocument/2006/relationships/control" Target="../activeX/activeX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image" Target="../media/image6.emf"/><Relationship Id="rId4" Type="http://schemas.openxmlformats.org/officeDocument/2006/relationships/control" Target="../activeX/activeX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image" Target="../media/image7.emf"/><Relationship Id="rId4" Type="http://schemas.openxmlformats.org/officeDocument/2006/relationships/control" Target="../activeX/activeX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pageSetUpPr fitToPage="1"/>
  </sheetPr>
  <dimension ref="A1:G60"/>
  <sheetViews>
    <sheetView view="pageBreakPreview" topLeftCell="A37" zoomScaleNormal="100" zoomScaleSheetLayoutView="100" workbookViewId="0">
      <selection activeCell="C51" sqref="B19:C51"/>
    </sheetView>
  </sheetViews>
  <sheetFormatPr baseColWidth="10" defaultColWidth="11.5546875" defaultRowHeight="13.2" x14ac:dyDescent="0.25"/>
  <cols>
    <col min="1" max="1" width="16.5546875" style="57" customWidth="1"/>
    <col min="2" max="2" width="55.109375" style="57" customWidth="1"/>
    <col min="3" max="3" width="88.5546875" style="57" customWidth="1"/>
    <col min="4" max="4" width="3.44140625" style="57" customWidth="1"/>
    <col min="5" max="6" width="11.5546875" style="57"/>
    <col min="7" max="7" width="3.33203125" style="57" customWidth="1"/>
    <col min="8" max="16384" width="11.5546875" style="57"/>
  </cols>
  <sheetData>
    <row r="1" spans="1:7" x14ac:dyDescent="0.25">
      <c r="A1" s="54"/>
      <c r="B1" s="55"/>
      <c r="C1" s="55"/>
      <c r="D1" s="55"/>
      <c r="E1" s="55"/>
      <c r="F1" s="55"/>
      <c r="G1" s="56"/>
    </row>
    <row r="2" spans="1:7" ht="13.8" thickBot="1" x14ac:dyDescent="0.3">
      <c r="A2" s="58"/>
      <c r="B2" s="59"/>
      <c r="C2" s="59"/>
      <c r="D2" s="59"/>
      <c r="E2" s="59"/>
      <c r="F2" s="59"/>
      <c r="G2" s="60"/>
    </row>
    <row r="3" spans="1:7" ht="21" x14ac:dyDescent="0.25">
      <c r="A3" s="58"/>
      <c r="B3" s="61" t="s">
        <v>0</v>
      </c>
      <c r="C3" s="62" t="s">
        <v>24</v>
      </c>
      <c r="D3" s="59"/>
      <c r="E3" s="59"/>
      <c r="F3" s="59"/>
      <c r="G3" s="60"/>
    </row>
    <row r="4" spans="1:7" ht="21" x14ac:dyDescent="0.25">
      <c r="A4" s="58"/>
      <c r="B4" s="63" t="s">
        <v>4</v>
      </c>
      <c r="C4" s="64" t="s">
        <v>25</v>
      </c>
      <c r="D4" s="59"/>
      <c r="E4" s="59"/>
      <c r="F4" s="59"/>
      <c r="G4" s="60"/>
    </row>
    <row r="5" spans="1:7" ht="21" x14ac:dyDescent="0.25">
      <c r="A5" s="58"/>
      <c r="B5" s="63" t="s">
        <v>1</v>
      </c>
      <c r="C5" s="64" t="s">
        <v>26</v>
      </c>
      <c r="D5" s="59"/>
      <c r="E5" s="59"/>
      <c r="F5" s="59"/>
      <c r="G5" s="60"/>
    </row>
    <row r="6" spans="1:7" ht="21.6" thickBot="1" x14ac:dyDescent="0.3">
      <c r="A6" s="58"/>
      <c r="B6" s="65" t="s">
        <v>2</v>
      </c>
      <c r="C6" s="66" t="s">
        <v>27</v>
      </c>
      <c r="D6" s="59"/>
      <c r="E6" s="59"/>
      <c r="F6" s="59"/>
      <c r="G6" s="60"/>
    </row>
    <row r="7" spans="1:7" x14ac:dyDescent="0.25">
      <c r="A7" s="58"/>
      <c r="B7" s="59"/>
      <c r="C7" s="59"/>
      <c r="D7" s="59"/>
      <c r="E7" s="59"/>
      <c r="F7" s="59"/>
      <c r="G7" s="60"/>
    </row>
    <row r="8" spans="1:7" ht="13.8" thickBot="1" x14ac:dyDescent="0.3">
      <c r="A8" s="58"/>
      <c r="B8" s="59"/>
      <c r="C8" s="59"/>
      <c r="D8" s="59"/>
      <c r="E8" s="59"/>
      <c r="F8" s="59"/>
      <c r="G8" s="60"/>
    </row>
    <row r="9" spans="1:7" ht="21" x14ac:dyDescent="0.25">
      <c r="A9" s="58"/>
      <c r="B9" s="61" t="s">
        <v>9</v>
      </c>
      <c r="C9" s="67">
        <v>45964</v>
      </c>
      <c r="D9" s="59"/>
      <c r="E9" s="59"/>
      <c r="F9" s="59"/>
      <c r="G9" s="60"/>
    </row>
    <row r="10" spans="1:7" ht="21" x14ac:dyDescent="0.25">
      <c r="A10" s="58"/>
      <c r="B10" s="68" t="s">
        <v>8</v>
      </c>
      <c r="C10" s="69">
        <v>46027</v>
      </c>
      <c r="D10" s="59"/>
      <c r="E10" s="59"/>
      <c r="F10" s="59"/>
      <c r="G10" s="60"/>
    </row>
    <row r="11" spans="1:7" ht="21" x14ac:dyDescent="0.25">
      <c r="A11" s="58"/>
      <c r="B11" s="68" t="s">
        <v>10</v>
      </c>
      <c r="C11" s="70">
        <v>8</v>
      </c>
      <c r="D11" s="59"/>
      <c r="E11" s="59"/>
      <c r="F11" s="59"/>
      <c r="G11" s="60"/>
    </row>
    <row r="12" spans="1:7" ht="21" x14ac:dyDescent="0.25">
      <c r="A12" s="58"/>
      <c r="B12" s="63" t="s">
        <v>11</v>
      </c>
      <c r="C12" s="71">
        <v>4</v>
      </c>
      <c r="D12" s="59"/>
      <c r="E12" s="59"/>
      <c r="F12" s="59"/>
      <c r="G12" s="60"/>
    </row>
    <row r="13" spans="1:7" ht="21" x14ac:dyDescent="0.25">
      <c r="A13" s="58"/>
      <c r="B13" s="63" t="s">
        <v>12</v>
      </c>
      <c r="C13" s="71">
        <v>3</v>
      </c>
      <c r="D13" s="59"/>
      <c r="E13" s="59"/>
      <c r="F13" s="59"/>
      <c r="G13" s="60"/>
    </row>
    <row r="14" spans="1:7" ht="21.6" thickBot="1" x14ac:dyDescent="0.3">
      <c r="A14" s="58"/>
      <c r="B14" s="72"/>
      <c r="C14" s="73" t="s">
        <v>6</v>
      </c>
      <c r="D14" s="59"/>
      <c r="E14" s="59"/>
      <c r="F14" s="59"/>
      <c r="G14" s="60"/>
    </row>
    <row r="15" spans="1:7" x14ac:dyDescent="0.25">
      <c r="A15" s="58"/>
      <c r="B15" s="59"/>
      <c r="C15" s="59"/>
      <c r="D15" s="59"/>
      <c r="E15" s="59"/>
      <c r="F15" s="59"/>
      <c r="G15" s="60"/>
    </row>
    <row r="16" spans="1:7" ht="13.8" thickBot="1" x14ac:dyDescent="0.3">
      <c r="A16" s="74"/>
      <c r="B16" s="75"/>
      <c r="C16" s="75"/>
      <c r="D16" s="75"/>
      <c r="E16" s="75"/>
      <c r="F16" s="75"/>
      <c r="G16" s="76"/>
    </row>
    <row r="17" spans="1:7" x14ac:dyDescent="0.25">
      <c r="A17" s="77"/>
      <c r="B17" s="55"/>
      <c r="C17" s="55"/>
      <c r="D17" s="55"/>
      <c r="E17" s="55"/>
      <c r="F17" s="55"/>
      <c r="G17" s="56"/>
    </row>
    <row r="18" spans="1:7" ht="13.8" thickBot="1" x14ac:dyDescent="0.3">
      <c r="A18" s="78"/>
      <c r="B18" s="59"/>
      <c r="C18" s="59"/>
      <c r="D18" s="59"/>
      <c r="E18" s="59"/>
      <c r="F18" s="59"/>
      <c r="G18" s="60"/>
    </row>
    <row r="19" spans="1:7" ht="21" thickBot="1" x14ac:dyDescent="0.3">
      <c r="A19" s="78"/>
      <c r="B19" s="92" t="s">
        <v>19</v>
      </c>
      <c r="C19" s="93"/>
      <c r="D19" s="59"/>
      <c r="E19" s="59"/>
      <c r="F19" s="59"/>
      <c r="G19" s="60"/>
    </row>
    <row r="20" spans="1:7" ht="21" x14ac:dyDescent="0.25">
      <c r="A20" s="78"/>
      <c r="B20" s="79" t="s">
        <v>20</v>
      </c>
      <c r="C20" s="80" t="s">
        <v>21</v>
      </c>
      <c r="D20" s="59"/>
      <c r="E20" s="59"/>
      <c r="F20" s="59"/>
      <c r="G20" s="60"/>
    </row>
    <row r="21" spans="1:7" ht="21" x14ac:dyDescent="0.25">
      <c r="A21" s="78"/>
      <c r="B21" s="79">
        <v>1</v>
      </c>
      <c r="C21" s="69" t="s">
        <v>29</v>
      </c>
      <c r="D21" s="59"/>
      <c r="E21" s="59"/>
      <c r="F21" s="59"/>
      <c r="G21" s="60"/>
    </row>
    <row r="22" spans="1:7" ht="21" x14ac:dyDescent="0.25">
      <c r="A22" s="78"/>
      <c r="B22" s="79">
        <v>2</v>
      </c>
      <c r="C22" s="70" t="s">
        <v>30</v>
      </c>
      <c r="D22" s="59"/>
      <c r="E22" s="59"/>
      <c r="F22" s="59"/>
      <c r="G22" s="60"/>
    </row>
    <row r="23" spans="1:7" ht="21" x14ac:dyDescent="0.25">
      <c r="A23" s="78"/>
      <c r="B23" s="81">
        <v>3</v>
      </c>
      <c r="C23" s="70" t="s">
        <v>47</v>
      </c>
      <c r="D23" s="59"/>
      <c r="E23" s="59"/>
      <c r="F23" s="59"/>
      <c r="G23" s="60"/>
    </row>
    <row r="24" spans="1:7" ht="21" x14ac:dyDescent="0.25">
      <c r="A24" s="78"/>
      <c r="B24" s="79">
        <v>4</v>
      </c>
      <c r="C24" s="70" t="s">
        <v>35</v>
      </c>
      <c r="D24" s="59"/>
      <c r="E24" s="59"/>
      <c r="F24" s="59"/>
      <c r="G24" s="60"/>
    </row>
    <row r="25" spans="1:7" ht="21" x14ac:dyDescent="0.25">
      <c r="A25" s="78"/>
      <c r="B25" s="79">
        <v>5</v>
      </c>
      <c r="C25" s="70" t="s">
        <v>36</v>
      </c>
      <c r="D25" s="59"/>
      <c r="E25" s="59"/>
      <c r="F25" s="59"/>
      <c r="G25" s="60"/>
    </row>
    <row r="26" spans="1:7" ht="21" x14ac:dyDescent="0.25">
      <c r="A26" s="78"/>
      <c r="B26" s="81">
        <v>6</v>
      </c>
      <c r="C26" s="70" t="s">
        <v>37</v>
      </c>
      <c r="D26" s="59"/>
      <c r="E26" s="59"/>
      <c r="F26" s="59"/>
      <c r="G26" s="60"/>
    </row>
    <row r="27" spans="1:7" ht="21" x14ac:dyDescent="0.25">
      <c r="A27" s="78"/>
      <c r="B27" s="79">
        <v>7</v>
      </c>
      <c r="C27" s="70" t="s">
        <v>41</v>
      </c>
      <c r="D27" s="59"/>
      <c r="E27" s="59"/>
      <c r="F27" s="59"/>
      <c r="G27" s="60"/>
    </row>
    <row r="28" spans="1:7" ht="21" x14ac:dyDescent="0.25">
      <c r="A28" s="78"/>
      <c r="B28" s="79">
        <v>8</v>
      </c>
      <c r="C28" s="71" t="s">
        <v>43</v>
      </c>
      <c r="D28" s="59"/>
      <c r="E28" s="59"/>
      <c r="F28" s="59"/>
      <c r="G28" s="60"/>
    </row>
    <row r="29" spans="1:7" ht="21" x14ac:dyDescent="0.25">
      <c r="A29" s="78"/>
      <c r="B29" s="81">
        <v>9</v>
      </c>
      <c r="C29" s="71" t="s">
        <v>46</v>
      </c>
      <c r="D29" s="59"/>
      <c r="E29" s="59"/>
      <c r="F29" s="59"/>
      <c r="G29" s="60"/>
    </row>
    <row r="30" spans="1:7" ht="21" x14ac:dyDescent="0.25">
      <c r="A30" s="78"/>
      <c r="B30" s="79">
        <v>10</v>
      </c>
      <c r="C30" s="70" t="s">
        <v>49</v>
      </c>
      <c r="D30" s="59"/>
      <c r="E30" s="59"/>
      <c r="F30" s="59"/>
      <c r="G30" s="60"/>
    </row>
    <row r="31" spans="1:7" ht="21" x14ac:dyDescent="0.25">
      <c r="A31" s="78"/>
      <c r="B31" s="79">
        <v>11</v>
      </c>
      <c r="C31" s="70" t="s">
        <v>50</v>
      </c>
      <c r="D31" s="59"/>
      <c r="E31" s="59"/>
      <c r="F31" s="59"/>
      <c r="G31" s="60"/>
    </row>
    <row r="32" spans="1:7" ht="21" x14ac:dyDescent="0.25">
      <c r="A32" s="78"/>
      <c r="B32" s="81">
        <v>12</v>
      </c>
      <c r="C32" s="70" t="s">
        <v>53</v>
      </c>
      <c r="D32" s="59"/>
      <c r="E32" s="59"/>
      <c r="F32" s="59"/>
      <c r="G32" s="60"/>
    </row>
    <row r="33" spans="1:7" ht="21" x14ac:dyDescent="0.25">
      <c r="A33" s="78"/>
      <c r="B33" s="79">
        <v>13</v>
      </c>
      <c r="C33" s="70" t="s">
        <v>56</v>
      </c>
      <c r="D33" s="59"/>
      <c r="E33" s="59"/>
      <c r="F33" s="59"/>
      <c r="G33" s="60"/>
    </row>
    <row r="34" spans="1:7" ht="21" x14ac:dyDescent="0.25">
      <c r="A34" s="78"/>
      <c r="B34" s="79">
        <v>14</v>
      </c>
      <c r="C34" s="71" t="s">
        <v>59</v>
      </c>
      <c r="D34" s="59"/>
      <c r="E34" s="59"/>
      <c r="F34" s="59"/>
      <c r="G34" s="60"/>
    </row>
    <row r="35" spans="1:7" ht="21" x14ac:dyDescent="0.25">
      <c r="A35" s="78"/>
      <c r="B35" s="81">
        <v>15</v>
      </c>
      <c r="C35" s="71" t="s">
        <v>61</v>
      </c>
      <c r="D35" s="59"/>
      <c r="E35" s="59"/>
      <c r="F35" s="59"/>
      <c r="G35" s="60"/>
    </row>
    <row r="36" spans="1:7" ht="21" x14ac:dyDescent="0.25">
      <c r="A36" s="78"/>
      <c r="B36" s="79">
        <v>16</v>
      </c>
      <c r="C36" s="70" t="s">
        <v>62</v>
      </c>
      <c r="D36" s="59"/>
      <c r="E36" s="59"/>
      <c r="F36" s="59"/>
      <c r="G36" s="60"/>
    </row>
    <row r="37" spans="1:7" ht="21" x14ac:dyDescent="0.25">
      <c r="A37" s="78"/>
      <c r="B37" s="79">
        <v>17</v>
      </c>
      <c r="C37" s="70" t="s">
        <v>63</v>
      </c>
      <c r="D37" s="59"/>
      <c r="E37" s="59"/>
      <c r="F37" s="59"/>
      <c r="G37" s="60"/>
    </row>
    <row r="38" spans="1:7" ht="21" x14ac:dyDescent="0.25">
      <c r="A38" s="78"/>
      <c r="B38" s="81">
        <v>18</v>
      </c>
      <c r="C38" s="70" t="s">
        <v>67</v>
      </c>
      <c r="D38" s="59"/>
      <c r="E38" s="59"/>
      <c r="F38" s="59"/>
      <c r="G38" s="60"/>
    </row>
    <row r="39" spans="1:7" ht="21" x14ac:dyDescent="0.25">
      <c r="A39" s="78"/>
      <c r="B39" s="79">
        <v>19</v>
      </c>
      <c r="C39" s="70" t="s">
        <v>69</v>
      </c>
      <c r="D39" s="59"/>
      <c r="E39" s="59"/>
      <c r="F39" s="59"/>
      <c r="G39" s="60"/>
    </row>
    <row r="40" spans="1:7" ht="21" x14ac:dyDescent="0.25">
      <c r="A40" s="78"/>
      <c r="B40" s="79">
        <v>20</v>
      </c>
      <c r="C40" s="71" t="s">
        <v>76</v>
      </c>
      <c r="D40" s="59"/>
      <c r="E40" s="59"/>
      <c r="F40" s="59"/>
      <c r="G40" s="60"/>
    </row>
    <row r="41" spans="1:7" ht="21" x14ac:dyDescent="0.25">
      <c r="A41" s="78"/>
      <c r="B41" s="81">
        <v>21</v>
      </c>
      <c r="C41" s="71" t="s">
        <v>73</v>
      </c>
      <c r="D41" s="59"/>
      <c r="E41" s="59"/>
      <c r="F41" s="59"/>
      <c r="G41" s="60"/>
    </row>
    <row r="42" spans="1:7" ht="21" x14ac:dyDescent="0.25">
      <c r="A42" s="78"/>
      <c r="B42" s="79">
        <v>22</v>
      </c>
      <c r="C42" s="71" t="s">
        <v>77</v>
      </c>
      <c r="D42" s="59"/>
      <c r="E42" s="59"/>
      <c r="F42" s="59"/>
      <c r="G42" s="60"/>
    </row>
    <row r="43" spans="1:7" ht="21" x14ac:dyDescent="0.25">
      <c r="A43" s="78"/>
      <c r="B43" s="79">
        <v>23</v>
      </c>
      <c r="C43" s="70" t="s">
        <v>78</v>
      </c>
      <c r="D43" s="59"/>
      <c r="E43" s="59"/>
      <c r="F43" s="59"/>
      <c r="G43" s="60"/>
    </row>
    <row r="44" spans="1:7" ht="21" x14ac:dyDescent="0.25">
      <c r="A44" s="78"/>
      <c r="B44" s="81">
        <v>24</v>
      </c>
      <c r="C44" s="70" t="s">
        <v>80</v>
      </c>
      <c r="D44" s="59"/>
      <c r="E44" s="59"/>
      <c r="F44" s="59"/>
      <c r="G44" s="60"/>
    </row>
    <row r="45" spans="1:7" ht="21" x14ac:dyDescent="0.25">
      <c r="A45" s="78"/>
      <c r="B45" s="81">
        <v>25</v>
      </c>
      <c r="C45" s="70" t="s">
        <v>83</v>
      </c>
      <c r="D45" s="59"/>
      <c r="E45" s="59"/>
      <c r="F45" s="59"/>
      <c r="G45" s="60"/>
    </row>
    <row r="46" spans="1:7" ht="21" x14ac:dyDescent="0.25">
      <c r="A46" s="78"/>
      <c r="B46" s="81">
        <v>26</v>
      </c>
      <c r="C46" s="70" t="s">
        <v>86</v>
      </c>
      <c r="D46" s="59"/>
      <c r="E46" s="59"/>
      <c r="F46" s="59"/>
      <c r="G46" s="60"/>
    </row>
    <row r="47" spans="1:7" ht="21" x14ac:dyDescent="0.25">
      <c r="A47" s="78"/>
      <c r="B47" s="81">
        <v>27</v>
      </c>
      <c r="C47" s="70" t="s">
        <v>88</v>
      </c>
      <c r="D47" s="59"/>
      <c r="E47" s="59"/>
      <c r="F47" s="59"/>
      <c r="G47" s="60"/>
    </row>
    <row r="48" spans="1:7" ht="21" x14ac:dyDescent="0.25">
      <c r="A48" s="78"/>
      <c r="B48" s="81">
        <v>28</v>
      </c>
      <c r="C48" s="70" t="s">
        <v>89</v>
      </c>
      <c r="D48" s="59"/>
      <c r="E48" s="59"/>
      <c r="F48" s="59"/>
      <c r="G48" s="60"/>
    </row>
    <row r="49" spans="1:7" ht="21" x14ac:dyDescent="0.25">
      <c r="A49" s="78"/>
      <c r="B49" s="81">
        <v>29</v>
      </c>
      <c r="C49" s="70" t="s">
        <v>90</v>
      </c>
      <c r="D49" s="59"/>
      <c r="E49" s="59"/>
      <c r="F49" s="59"/>
      <c r="G49" s="60"/>
    </row>
    <row r="50" spans="1:7" ht="21" x14ac:dyDescent="0.25">
      <c r="A50" s="78"/>
      <c r="B50" s="81">
        <v>30</v>
      </c>
      <c r="C50" s="70" t="s">
        <v>91</v>
      </c>
      <c r="D50" s="59"/>
      <c r="E50" s="59"/>
      <c r="F50" s="59"/>
      <c r="G50" s="60"/>
    </row>
    <row r="51" spans="1:7" ht="21.6" thickBot="1" x14ac:dyDescent="0.3">
      <c r="A51" s="78"/>
      <c r="B51" s="81">
        <v>31</v>
      </c>
      <c r="C51" s="70" t="s">
        <v>92</v>
      </c>
      <c r="D51" s="59"/>
      <c r="E51" s="59"/>
      <c r="F51" s="59"/>
      <c r="G51" s="60"/>
    </row>
    <row r="52" spans="1:7" x14ac:dyDescent="0.25">
      <c r="A52" s="78"/>
      <c r="B52" s="55"/>
      <c r="C52" s="59"/>
      <c r="D52" s="59"/>
      <c r="E52" s="59"/>
      <c r="F52" s="59"/>
      <c r="G52" s="60"/>
    </row>
    <row r="53" spans="1:7" x14ac:dyDescent="0.25">
      <c r="A53" s="78"/>
      <c r="B53" s="59"/>
      <c r="C53" s="59"/>
      <c r="D53" s="59"/>
      <c r="E53" s="59"/>
      <c r="F53" s="59"/>
      <c r="G53" s="60"/>
    </row>
    <row r="54" spans="1:7" x14ac:dyDescent="0.25">
      <c r="A54" s="78"/>
      <c r="B54" s="59"/>
      <c r="C54" s="59"/>
      <c r="D54" s="59"/>
      <c r="E54" s="59"/>
      <c r="F54" s="59"/>
      <c r="G54" s="60"/>
    </row>
    <row r="55" spans="1:7" x14ac:dyDescent="0.25">
      <c r="A55" s="78"/>
      <c r="B55" s="59"/>
      <c r="C55" s="59"/>
      <c r="D55" s="59"/>
      <c r="E55" s="59"/>
      <c r="F55" s="59"/>
      <c r="G55" s="60"/>
    </row>
    <row r="56" spans="1:7" x14ac:dyDescent="0.25">
      <c r="A56" s="78"/>
      <c r="B56" s="59"/>
      <c r="C56" s="59"/>
      <c r="D56" s="59"/>
      <c r="E56" s="59"/>
      <c r="F56" s="59"/>
      <c r="G56" s="60"/>
    </row>
    <row r="57" spans="1:7" x14ac:dyDescent="0.25">
      <c r="A57" s="78"/>
      <c r="B57" s="59"/>
      <c r="C57" s="59"/>
      <c r="D57" s="59"/>
      <c r="E57" s="59"/>
      <c r="F57" s="59"/>
      <c r="G57" s="60"/>
    </row>
    <row r="58" spans="1:7" x14ac:dyDescent="0.25">
      <c r="A58" s="78"/>
      <c r="B58" s="59"/>
      <c r="C58" s="59"/>
      <c r="D58" s="59"/>
      <c r="E58" s="59"/>
      <c r="F58" s="59"/>
      <c r="G58" s="60"/>
    </row>
    <row r="59" spans="1:7" x14ac:dyDescent="0.25">
      <c r="A59" s="78"/>
      <c r="B59" s="59"/>
      <c r="C59" s="59"/>
      <c r="D59" s="59"/>
      <c r="E59" s="59"/>
      <c r="F59" s="59"/>
      <c r="G59" s="60"/>
    </row>
    <row r="60" spans="1:7" ht="13.8" thickBot="1" x14ac:dyDescent="0.3">
      <c r="A60" s="82"/>
      <c r="B60" s="75"/>
      <c r="C60" s="75"/>
      <c r="D60" s="75"/>
      <c r="E60" s="75"/>
      <c r="F60" s="75"/>
      <c r="G60" s="76"/>
    </row>
  </sheetData>
  <sheetProtection selectLockedCells="1"/>
  <mergeCells count="1">
    <mergeCell ref="B19:C19"/>
  </mergeCells>
  <printOptions horizontalCentered="1"/>
  <pageMargins left="0.70866141732283472" right="0.70866141732283472" top="0.74803149606299213" bottom="0.74803149606299213" header="0.31496062992125984" footer="0.31496062992125984"/>
  <pageSetup paperSize="9" scale="47" orientation="landscape" r:id="rId1"/>
  <headerFooter>
    <oddHeader>&amp;L&amp;"ETML L,Normal"ETML&amp;C&amp;"-,Normal"Planification&amp;R&amp;G</oddHeader>
    <oddFooter>&amp;L&amp;"-,Normal"&amp;D - GGZ&amp;C&amp;"-,Normal"&amp;F - &amp;A&amp;R&amp;"-,Normal"Page &amp;P/&amp;N</oddFooter>
  </headerFooter>
  <drawing r:id="rId2"/>
  <legacyDrawing r:id="rId3"/>
  <legacyDrawingHF r:id="rId4"/>
  <controls>
    <mc:AlternateContent xmlns:mc="http://schemas.openxmlformats.org/markup-compatibility/2006">
      <mc:Choice Requires="x14">
        <control shapeId="15364" r:id="rId5" name="btnCreatePlanning">
          <controlPr defaultSize="0" autoLine="0" r:id="rId6">
            <anchor moveWithCells="1">
              <from>
                <xdr:col>4</xdr:col>
                <xdr:colOff>7620</xdr:colOff>
                <xdr:row>5</xdr:row>
                <xdr:rowOff>7620</xdr:rowOff>
              </from>
              <to>
                <xdr:col>6</xdr:col>
                <xdr:colOff>99060</xdr:colOff>
                <xdr:row>7</xdr:row>
                <xdr:rowOff>45720</xdr:rowOff>
              </to>
            </anchor>
          </controlPr>
        </control>
      </mc:Choice>
      <mc:Fallback>
        <control shapeId="15364" r:id="rId5" name="btnCreatePlanning"/>
      </mc:Fallback>
    </mc:AlternateContent>
    <mc:AlternateContent xmlns:mc="http://schemas.openxmlformats.org/markup-compatibility/2006">
      <mc:Choice Requires="x14">
        <control shapeId="15362" r:id="rId7" name="btnCreateDiagram">
          <controlPr defaultSize="0" autoLine="0" r:id="rId8">
            <anchor moveWithCells="1">
              <from>
                <xdr:col>4</xdr:col>
                <xdr:colOff>7620</xdr:colOff>
                <xdr:row>1</xdr:row>
                <xdr:rowOff>160020</xdr:rowOff>
              </from>
              <to>
                <xdr:col>6</xdr:col>
                <xdr:colOff>76200</xdr:colOff>
                <xdr:row>3</xdr:row>
                <xdr:rowOff>198120</xdr:rowOff>
              </to>
            </anchor>
          </controlPr>
        </control>
      </mc:Choice>
      <mc:Fallback>
        <control shapeId="15362" r:id="rId7" name="btnCreateDiagram"/>
      </mc:Fallback>
    </mc:AlternateContent>
    <mc:AlternateContent xmlns:mc="http://schemas.openxmlformats.org/markup-compatibility/2006">
      <mc:Choice Requires="x14">
        <control shapeId="15365" r:id="rId9" name="btnCreateWorkSheet">
          <controlPr defaultSize="0" autoLine="0" r:id="rId10">
            <anchor moveWithCells="1">
              <from>
                <xdr:col>4</xdr:col>
                <xdr:colOff>7620</xdr:colOff>
                <xdr:row>8</xdr:row>
                <xdr:rowOff>190500</xdr:rowOff>
              </from>
              <to>
                <xdr:col>6</xdr:col>
                <xdr:colOff>114300</xdr:colOff>
                <xdr:row>10</xdr:row>
                <xdr:rowOff>152400</xdr:rowOff>
              </to>
            </anchor>
          </controlPr>
        </control>
      </mc:Choice>
      <mc:Fallback>
        <control shapeId="15365" r:id="rId9" name="btnCreateWorkSheet"/>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6"/>
  <dimension ref="A1:D16"/>
  <sheetViews>
    <sheetView workbookViewId="0">
      <selection activeCell="C30" sqref="C30"/>
    </sheetView>
  </sheetViews>
  <sheetFormatPr baseColWidth="10" defaultColWidth="1.5546875" defaultRowHeight="19.5" customHeight="1" x14ac:dyDescent="0.25"/>
  <cols>
    <col min="1" max="1" width="17.88671875" style="20" customWidth="1"/>
    <col min="2" max="2" width="51.33203125" style="20" customWidth="1"/>
    <col min="3" max="3" width="19.44140625" style="20" customWidth="1"/>
    <col min="4" max="16384" width="1.5546875" style="20"/>
  </cols>
  <sheetData>
    <row r="1" spans="1:4" ht="13.8" thickBot="1" x14ac:dyDescent="0.3">
      <c r="B1" s="21"/>
      <c r="C1" s="21"/>
    </row>
    <row r="2" spans="1:4" ht="42.75" customHeight="1" thickBot="1" x14ac:dyDescent="0.3">
      <c r="A2" s="19"/>
      <c r="B2" s="23" t="s">
        <v>5</v>
      </c>
      <c r="C2" s="15" t="s">
        <v>18</v>
      </c>
    </row>
    <row r="3" spans="1:4" ht="19.5" customHeight="1" x14ac:dyDescent="0.25">
      <c r="A3" s="19"/>
      <c r="B3" s="94" t="s">
        <v>21</v>
      </c>
      <c r="C3" s="16">
        <v>0</v>
      </c>
    </row>
    <row r="4" spans="1:4" ht="19.5" customHeight="1" x14ac:dyDescent="0.25">
      <c r="A4" s="19"/>
      <c r="B4" s="95"/>
      <c r="C4" s="22">
        <v>0</v>
      </c>
      <c r="D4" s="29"/>
    </row>
    <row r="16" spans="1:4" ht="19.5" customHeight="1" x14ac:dyDescent="0.25">
      <c r="A16" s="41"/>
    </row>
  </sheetData>
  <mergeCells count="1">
    <mergeCell ref="B3:B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B3:E39"/>
  <sheetViews>
    <sheetView workbookViewId="0">
      <selection activeCell="J21" sqref="J21"/>
    </sheetView>
  </sheetViews>
  <sheetFormatPr baseColWidth="10" defaultRowHeight="13.2" x14ac:dyDescent="0.25"/>
  <cols>
    <col min="2" max="2" width="51.88671875" customWidth="1"/>
    <col min="3" max="3" width="35" customWidth="1"/>
  </cols>
  <sheetData>
    <row r="3" spans="2:3" ht="27.75" customHeight="1" x14ac:dyDescent="0.25">
      <c r="B3" s="25" t="s">
        <v>16</v>
      </c>
      <c r="C3" s="27">
        <v>0</v>
      </c>
    </row>
    <row r="4" spans="2:3" ht="18" thickBot="1" x14ac:dyDescent="0.3">
      <c r="B4" s="26" t="s">
        <v>17</v>
      </c>
      <c r="C4" s="28">
        <v>0</v>
      </c>
    </row>
    <row r="39" spans="5:5" x14ac:dyDescent="0.25">
      <c r="E39" s="24"/>
    </row>
  </sheetData>
  <dataValidations count="1">
    <dataValidation type="whole" allowBlank="1" showInputMessage="1" showErrorMessage="1" errorTitle="DureeTropLongue" error="Cette durée est invalide: ce n'est pas un chiffre entier positif ou elle dépasse la &quot;Durée totale&quot; définie plus haut ..." sqref="C3" xr:uid="{00000000-0002-0000-0200-000000000000}">
      <formula1>0</formula1>
      <formula2>$C$9</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H31"/>
  <sheetViews>
    <sheetView workbookViewId="0">
      <selection activeCell="D1" sqref="D1"/>
    </sheetView>
  </sheetViews>
  <sheetFormatPr baseColWidth="10" defaultColWidth="11.44140625" defaultRowHeight="13.2" x14ac:dyDescent="0.25"/>
  <cols>
    <col min="1" max="1" width="21.44140625" style="20" customWidth="1"/>
    <col min="2" max="2" width="8.5546875" style="20" customWidth="1"/>
    <col min="3" max="3" width="87" style="20" customWidth="1"/>
    <col min="4" max="4" width="44.109375" style="20" customWidth="1"/>
    <col min="5" max="16384" width="11.44140625" style="20"/>
  </cols>
  <sheetData>
    <row r="1" spans="1:4" ht="18" thickBot="1" x14ac:dyDescent="0.3">
      <c r="A1" s="6" t="s">
        <v>14</v>
      </c>
      <c r="B1" s="7">
        <v>1</v>
      </c>
      <c r="C1" s="17"/>
      <c r="D1" s="83"/>
    </row>
    <row r="2" spans="1:4" ht="23.4" thickBot="1" x14ac:dyDescent="0.3">
      <c r="A2" s="8" t="s">
        <v>3</v>
      </c>
      <c r="B2" s="18" t="s">
        <v>15</v>
      </c>
      <c r="C2" s="8" t="s">
        <v>7</v>
      </c>
      <c r="D2" s="8"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2"/>
      <c r="B9" s="2"/>
      <c r="C9" s="10"/>
      <c r="D9" s="10"/>
    </row>
    <row r="10" spans="1:4" s="52" customFormat="1" x14ac:dyDescent="0.25">
      <c r="A10" s="2"/>
      <c r="B10" s="2"/>
      <c r="C10" s="10"/>
      <c r="D10" s="10"/>
    </row>
    <row r="11" spans="1:4" s="52" customFormat="1" x14ac:dyDescent="0.25">
      <c r="A11" s="2"/>
      <c r="B11" s="2"/>
      <c r="C11" s="10"/>
      <c r="D11" s="10"/>
    </row>
    <row r="12" spans="1:4" s="52" customFormat="1" ht="13.8" thickBot="1" x14ac:dyDescent="0.3">
      <c r="A12" s="3"/>
      <c r="B12" s="3"/>
      <c r="C12" s="11"/>
      <c r="D12" s="11"/>
    </row>
    <row r="13" spans="1:4" ht="13.8" thickBot="1" x14ac:dyDescent="0.3">
      <c r="A13" s="12" t="s">
        <v>22</v>
      </c>
      <c r="B13" s="12">
        <f>SUM(B3:B12)</f>
        <v>0</v>
      </c>
      <c r="C13" s="13"/>
      <c r="D13" s="13"/>
    </row>
    <row r="14" spans="1:4" ht="13.8" x14ac:dyDescent="0.3">
      <c r="A14" s="14"/>
      <c r="B14" s="14"/>
      <c r="C14" s="14"/>
      <c r="D14" s="14"/>
    </row>
    <row r="20" spans="1:8" ht="12.75" customHeight="1" x14ac:dyDescent="0.25">
      <c r="A20" s="30"/>
      <c r="B20" s="31"/>
      <c r="C20" s="32"/>
      <c r="D20" s="33"/>
      <c r="F20" s="31"/>
      <c r="G20" s="32"/>
      <c r="H20" s="33"/>
    </row>
    <row r="21" spans="1:8" ht="15" x14ac:dyDescent="0.25">
      <c r="A21" s="30"/>
      <c r="B21" s="34"/>
      <c r="C21" s="30"/>
      <c r="D21" s="30"/>
      <c r="F21" s="34"/>
      <c r="G21" s="30"/>
      <c r="H21" s="30"/>
    </row>
    <row r="22" spans="1:8" x14ac:dyDescent="0.25">
      <c r="A22" s="35"/>
      <c r="B22" s="36"/>
      <c r="C22" s="37"/>
      <c r="D22" s="37"/>
      <c r="F22" s="36"/>
      <c r="G22" s="37"/>
      <c r="H22" s="37"/>
    </row>
    <row r="23" spans="1:8" x14ac:dyDescent="0.25">
      <c r="A23" s="35"/>
      <c r="B23" s="36"/>
      <c r="C23" s="37"/>
      <c r="D23" s="37"/>
      <c r="F23" s="36"/>
      <c r="G23" s="37"/>
      <c r="H23" s="37"/>
    </row>
    <row r="24" spans="1:8" x14ac:dyDescent="0.25">
      <c r="A24" s="35"/>
      <c r="B24" s="36"/>
      <c r="C24" s="37"/>
      <c r="D24" s="37"/>
      <c r="F24" s="36"/>
      <c r="G24" s="37"/>
      <c r="H24" s="37"/>
    </row>
    <row r="25" spans="1:8" x14ac:dyDescent="0.25">
      <c r="A25" s="35"/>
      <c r="B25" s="36"/>
      <c r="C25" s="37"/>
      <c r="D25" s="37"/>
      <c r="F25" s="36"/>
      <c r="G25" s="37"/>
      <c r="H25" s="37"/>
    </row>
    <row r="26" spans="1:8" x14ac:dyDescent="0.25">
      <c r="A26" s="36"/>
      <c r="B26" s="36"/>
      <c r="C26" s="37"/>
      <c r="D26" s="37"/>
      <c r="F26" s="36"/>
      <c r="G26" s="37"/>
      <c r="H26" s="37"/>
    </row>
    <row r="27" spans="1:8" x14ac:dyDescent="0.25">
      <c r="A27" s="36"/>
      <c r="B27" s="36"/>
      <c r="C27" s="37"/>
      <c r="D27" s="37"/>
      <c r="F27" s="36"/>
      <c r="G27" s="37"/>
      <c r="H27" s="37"/>
    </row>
    <row r="28" spans="1:8" x14ac:dyDescent="0.25">
      <c r="A28" s="36"/>
      <c r="B28" s="36"/>
      <c r="C28" s="37"/>
      <c r="D28" s="37"/>
      <c r="F28" s="36"/>
      <c r="G28" s="37"/>
      <c r="H28" s="37"/>
    </row>
    <row r="29" spans="1:8" x14ac:dyDescent="0.25">
      <c r="A29" s="36"/>
      <c r="B29" s="36"/>
      <c r="C29" s="37"/>
      <c r="D29" s="37"/>
      <c r="F29" s="36"/>
      <c r="G29" s="37"/>
      <c r="H29" s="37"/>
    </row>
    <row r="30" spans="1:8" x14ac:dyDescent="0.25">
      <c r="A30" s="38"/>
      <c r="B30" s="38"/>
      <c r="C30" s="39"/>
      <c r="D30" s="39"/>
      <c r="F30" s="38"/>
      <c r="G30" s="39"/>
      <c r="H30" s="39"/>
    </row>
    <row r="31" spans="1:8" ht="13.8" x14ac:dyDescent="0.3">
      <c r="A31" s="40"/>
      <c r="B31" s="40"/>
      <c r="C31" s="40"/>
      <c r="D31" s="40"/>
      <c r="F31" s="40"/>
      <c r="G31" s="40"/>
      <c r="H31" s="40"/>
    </row>
  </sheetData>
  <dataValidations count="5">
    <dataValidation type="whole" errorStyle="warning" allowBlank="1" showInputMessage="1" showErrorMessage="1" errorTitle="Dépassement de durée" error="Le nombre de minutes introduites dépasse la durée d'une période. Veuillez confirmer ... Le calcul du total sera juste dans tous les cas._x000a_" sqref="F30 B30" xr:uid="{00000000-0002-0000-0300-000000000000}">
      <formula1>0</formula1>
      <formula2>DureePeriode-1</formula2>
    </dataValidation>
    <dataValidation type="whole" errorStyle="warning" operator="greaterThan" allowBlank="1" showInputMessage="1" showErrorMessage="1" errorTitle="Durée en 1/3 de période" error="Le nombre doit être de type entier" sqref="B3:B12 B22:B29 F22:F29" xr:uid="{00000000-0002-0000-0300-000001000000}">
      <formula1>0</formula1>
    </dataValidation>
    <dataValidation type="list" allowBlank="1" showInputMessage="1" showErrorMessage="1" sqref="A22:A29" xr:uid="{00000000-0002-0000-0300-000002000000}">
      <formula1>ListeTaches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3" xr:uid="{00000000-0002-0000-0300-000003000000}">
      <formula1>0</formula1>
      <formula2>NbPerWeek * NbQuartPer</formula2>
    </dataValidation>
    <dataValidation type="list" allowBlank="1" showInputMessage="1" showErrorMessage="1" sqref="A3:A12" xr:uid="{00000000-0002-0000-0300-000004000000}">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18438" r:id="rId4" name="btnImportPlanification">
          <controlPr defaultSize="0" autoLine="0" r:id="rId5">
            <anchor moveWithCells="1">
              <from>
                <xdr:col>4</xdr:col>
                <xdr:colOff>594360</xdr:colOff>
                <xdr:row>0</xdr:row>
                <xdr:rowOff>182880</xdr:rowOff>
              </from>
              <to>
                <xdr:col>7</xdr:col>
                <xdr:colOff>259080</xdr:colOff>
                <xdr:row>2</xdr:row>
                <xdr:rowOff>152400</xdr:rowOff>
              </to>
            </anchor>
          </controlPr>
        </control>
      </mc:Choice>
      <mc:Fallback>
        <control shapeId="18438" r:id="rId4" name="btnImportPlanification"/>
      </mc:Fallback>
    </mc:AlternateContent>
  </control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8"/>
  <dimension ref="A1:H36"/>
  <sheetViews>
    <sheetView workbookViewId="0">
      <selection activeCell="C28" sqref="C28"/>
    </sheetView>
  </sheetViews>
  <sheetFormatPr baseColWidth="10" defaultColWidth="11.44140625" defaultRowHeight="13.2" x14ac:dyDescent="0.25"/>
  <cols>
    <col min="1" max="1" width="21.44140625" style="20" customWidth="1"/>
    <col min="2" max="2" width="8.5546875" style="20" customWidth="1"/>
    <col min="3" max="3" width="87" style="20" customWidth="1"/>
    <col min="4" max="4" width="44.109375" style="20" customWidth="1"/>
    <col min="5" max="16384" width="11.44140625" style="20"/>
  </cols>
  <sheetData>
    <row r="1" spans="1:4" ht="18" thickBot="1" x14ac:dyDescent="0.3">
      <c r="A1" s="42" t="s">
        <v>14</v>
      </c>
      <c r="B1" s="43">
        <v>1</v>
      </c>
      <c r="C1" s="44" t="s">
        <v>23</v>
      </c>
      <c r="D1" s="53"/>
    </row>
    <row r="2" spans="1:4" ht="23.4" thickBot="1" x14ac:dyDescent="0.3">
      <c r="A2" s="45" t="s">
        <v>3</v>
      </c>
      <c r="B2" s="46" t="s">
        <v>15</v>
      </c>
      <c r="C2" s="45" t="s">
        <v>7</v>
      </c>
      <c r="D2" s="45"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3.8" thickBot="1" x14ac:dyDescent="0.3">
      <c r="A17" s="3"/>
      <c r="B17" s="3"/>
      <c r="C17" s="11"/>
      <c r="D17" s="11"/>
    </row>
    <row r="18" spans="1:8" ht="13.8" thickBot="1" x14ac:dyDescent="0.3">
      <c r="A18" s="47" t="s">
        <v>22</v>
      </c>
      <c r="B18" s="47">
        <f>SUM(B3:B17)</f>
        <v>0</v>
      </c>
      <c r="C18" s="48"/>
      <c r="D18" s="48"/>
    </row>
    <row r="19" spans="1:8" ht="13.8" x14ac:dyDescent="0.3">
      <c r="A19" s="49"/>
      <c r="B19" s="49"/>
      <c r="C19" s="49"/>
      <c r="D19" s="49"/>
    </row>
    <row r="25" spans="1:8" ht="12.75" customHeight="1" x14ac:dyDescent="0.25">
      <c r="A25" s="30"/>
      <c r="B25" s="31"/>
      <c r="C25" s="32"/>
      <c r="D25" s="33"/>
      <c r="F25" s="31"/>
      <c r="G25" s="32"/>
      <c r="H25" s="33"/>
    </row>
    <row r="26" spans="1:8" ht="15" x14ac:dyDescent="0.25">
      <c r="A26" s="30"/>
      <c r="B26" s="34"/>
      <c r="C26" s="30"/>
      <c r="D26" s="30"/>
      <c r="F26" s="34"/>
      <c r="G26" s="30"/>
      <c r="H26" s="30"/>
    </row>
    <row r="27" spans="1:8" x14ac:dyDescent="0.25">
      <c r="A27" s="35"/>
      <c r="B27" s="36"/>
      <c r="C27" s="37"/>
      <c r="D27" s="37"/>
      <c r="F27" s="36"/>
      <c r="G27" s="37"/>
      <c r="H27" s="37"/>
    </row>
    <row r="28" spans="1:8" x14ac:dyDescent="0.25">
      <c r="A28" s="35"/>
      <c r="B28" s="36"/>
      <c r="C28" s="37"/>
      <c r="D28" s="37"/>
      <c r="F28" s="36"/>
      <c r="G28" s="37"/>
      <c r="H28" s="37"/>
    </row>
    <row r="29" spans="1:8" x14ac:dyDescent="0.25">
      <c r="A29" s="35"/>
      <c r="B29" s="36"/>
      <c r="C29" s="37"/>
      <c r="D29" s="37"/>
      <c r="F29" s="36"/>
      <c r="G29" s="37"/>
      <c r="H29" s="37"/>
    </row>
    <row r="30" spans="1:8" x14ac:dyDescent="0.25">
      <c r="A30" s="35"/>
      <c r="B30" s="36"/>
      <c r="C30" s="37"/>
      <c r="D30" s="37"/>
      <c r="F30" s="36"/>
      <c r="G30" s="37"/>
      <c r="H30" s="37"/>
    </row>
    <row r="31" spans="1:8" x14ac:dyDescent="0.25">
      <c r="A31" s="36"/>
      <c r="B31" s="36"/>
      <c r="C31" s="37"/>
      <c r="D31" s="37"/>
      <c r="F31" s="36"/>
      <c r="G31" s="37"/>
      <c r="H31" s="37"/>
    </row>
    <row r="32" spans="1:8" x14ac:dyDescent="0.25">
      <c r="A32" s="36"/>
      <c r="B32" s="36"/>
      <c r="C32" s="37"/>
      <c r="D32" s="37"/>
      <c r="F32" s="36"/>
      <c r="G32" s="37"/>
      <c r="H32" s="37"/>
    </row>
    <row r="33" spans="1:8" x14ac:dyDescent="0.25">
      <c r="A33" s="36"/>
      <c r="B33" s="36"/>
      <c r="C33" s="37"/>
      <c r="D33" s="37"/>
      <c r="F33" s="36"/>
      <c r="G33" s="37"/>
      <c r="H33" s="37"/>
    </row>
    <row r="34" spans="1:8" x14ac:dyDescent="0.25">
      <c r="A34" s="36"/>
      <c r="B34" s="36"/>
      <c r="C34" s="37"/>
      <c r="D34" s="37"/>
      <c r="F34" s="36"/>
      <c r="G34" s="37"/>
      <c r="H34" s="37"/>
    </row>
    <row r="35" spans="1:8" x14ac:dyDescent="0.25">
      <c r="A35" s="38"/>
      <c r="B35" s="38"/>
      <c r="C35" s="39"/>
      <c r="D35" s="39"/>
      <c r="F35" s="38"/>
      <c r="G35" s="39"/>
      <c r="H35" s="39"/>
    </row>
    <row r="36" spans="1:8" ht="13.8" x14ac:dyDescent="0.3">
      <c r="A36" s="40"/>
      <c r="B36" s="40"/>
      <c r="C36" s="40"/>
      <c r="D36" s="40"/>
      <c r="F36" s="40"/>
      <c r="G36" s="40"/>
      <c r="H36" s="40"/>
    </row>
  </sheetData>
  <dataValidations count="5">
    <dataValidation type="list" allowBlank="1" showInputMessage="1" showErrorMessage="1" sqref="A3:A17" xr:uid="{00000000-0002-0000-0400-000000000000}">
      <formula1>lstTasks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xr:uid="{00000000-0002-0000-0400-000001000000}">
      <formula1>0</formula1>
      <formula2>NbPerWeek * NbQuartPer</formula2>
    </dataValidation>
    <dataValidation type="list" allowBlank="1" showInputMessage="1" showErrorMessage="1" sqref="A27:A34" xr:uid="{00000000-0002-0000-0400-000002000000}">
      <formula1>ListeTaches</formula1>
    </dataValidation>
    <dataValidation type="whole" errorStyle="warning" operator="greaterThan" allowBlank="1" showInputMessage="1" showErrorMessage="1" errorTitle="Durée en 1/3 de période" error="Le nombre doit être de type entier" sqref="F27:F34 B27:B34 B3:B17" xr:uid="{00000000-0002-0000-0400-000003000000}">
      <formula1>0</formula1>
    </dataValidation>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B35" xr:uid="{00000000-0002-0000-0400-000004000000}">
      <formula1>0</formula1>
      <formula2>DureePeriode-1</formula2>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38913" r:id="rId4" name="btnImportRealisation">
          <controlPr defaultSize="0" autoLine="0" r:id="rId5">
            <anchor moveWithCells="1">
              <from>
                <xdr:col>4</xdr:col>
                <xdr:colOff>594360</xdr:colOff>
                <xdr:row>0</xdr:row>
                <xdr:rowOff>182880</xdr:rowOff>
              </from>
              <to>
                <xdr:col>7</xdr:col>
                <xdr:colOff>259080</xdr:colOff>
                <xdr:row>2</xdr:row>
                <xdr:rowOff>152400</xdr:rowOff>
              </to>
            </anchor>
          </controlPr>
        </control>
      </mc:Choice>
      <mc:Fallback>
        <control shapeId="38913" r:id="rId4" name="btnImportRealisation"/>
      </mc:Fallback>
    </mc:AlternateContent>
  </control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FAF2F-C534-499F-8C25-95E6F074E70C}">
  <sheetPr codeName="Feuil9"/>
  <dimension ref="A1:H157"/>
  <sheetViews>
    <sheetView tabSelected="1" topLeftCell="A129" workbookViewId="0">
      <selection activeCell="C134" sqref="C134"/>
    </sheetView>
  </sheetViews>
  <sheetFormatPr baseColWidth="10" defaultColWidth="11.44140625" defaultRowHeight="13.2" x14ac:dyDescent="0.25"/>
  <cols>
    <col min="1" max="1" width="21.44140625" style="20" customWidth="1"/>
    <col min="2" max="2" width="8.5546875" style="20" customWidth="1"/>
    <col min="3" max="3" width="87" style="20" customWidth="1"/>
    <col min="4" max="4" width="48.33203125" style="20" customWidth="1"/>
    <col min="5" max="16384" width="11.44140625" style="20"/>
  </cols>
  <sheetData>
    <row r="1" spans="1:4" ht="18" thickBot="1" x14ac:dyDescent="0.3">
      <c r="A1" s="42" t="s">
        <v>14</v>
      </c>
      <c r="B1" s="43">
        <v>1</v>
      </c>
      <c r="C1" s="44" t="s">
        <v>23</v>
      </c>
      <c r="D1" s="53">
        <f>Donnees!$C$9</f>
        <v>45964</v>
      </c>
    </row>
    <row r="2" spans="1:4" ht="23.4" thickBot="1" x14ac:dyDescent="0.3">
      <c r="A2" s="45" t="s">
        <v>3</v>
      </c>
      <c r="B2" s="46" t="s">
        <v>15</v>
      </c>
      <c r="C2" s="45" t="s">
        <v>7</v>
      </c>
      <c r="D2" s="45" t="s">
        <v>13</v>
      </c>
    </row>
    <row r="3" spans="1:4" s="52" customFormat="1" x14ac:dyDescent="0.25">
      <c r="A3" s="5" t="s">
        <v>21</v>
      </c>
      <c r="B3" s="4">
        <v>12</v>
      </c>
      <c r="C3" s="86" t="s">
        <v>32</v>
      </c>
      <c r="D3" s="9"/>
    </row>
    <row r="4" spans="1:4" s="52" customFormat="1" x14ac:dyDescent="0.25">
      <c r="A4" s="1"/>
      <c r="B4" s="2"/>
      <c r="C4" s="87"/>
      <c r="D4" s="10"/>
    </row>
    <row r="5" spans="1:4" s="52" customFormat="1" x14ac:dyDescent="0.25">
      <c r="A5" s="1"/>
      <c r="B5" s="2"/>
      <c r="C5" s="87"/>
      <c r="D5" s="90"/>
    </row>
    <row r="6" spans="1:4" s="52" customFormat="1" x14ac:dyDescent="0.25">
      <c r="A6" s="1"/>
      <c r="B6" s="2"/>
      <c r="C6" s="87"/>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3.8" thickBot="1" x14ac:dyDescent="0.3">
      <c r="A17" s="3"/>
      <c r="B17" s="3"/>
      <c r="C17" s="11"/>
      <c r="D17" s="11"/>
    </row>
    <row r="18" spans="1:8" ht="13.8" thickBot="1" x14ac:dyDescent="0.3">
      <c r="A18" s="47" t="s">
        <v>22</v>
      </c>
      <c r="B18" s="47">
        <f>SUM(B3:B17)</f>
        <v>12</v>
      </c>
      <c r="C18" s="85" t="s">
        <v>31</v>
      </c>
      <c r="D18" s="48"/>
    </row>
    <row r="19" spans="1:8" ht="14.4" thickBot="1" x14ac:dyDescent="0.35">
      <c r="A19" s="49"/>
      <c r="B19" s="49"/>
      <c r="C19" s="49"/>
      <c r="D19" s="49"/>
    </row>
    <row r="20" spans="1:8" ht="18" thickBot="1" x14ac:dyDescent="0.3">
      <c r="A20" s="42" t="s">
        <v>14</v>
      </c>
      <c r="B20" s="43">
        <v>2</v>
      </c>
      <c r="C20" s="44" t="s">
        <v>23</v>
      </c>
      <c r="D20" s="53">
        <f>$D$1+7</f>
        <v>45971</v>
      </c>
    </row>
    <row r="21" spans="1:8" ht="23.4" thickBot="1" x14ac:dyDescent="0.3">
      <c r="A21" s="45" t="s">
        <v>3</v>
      </c>
      <c r="B21" s="46" t="s">
        <v>15</v>
      </c>
      <c r="C21" s="45" t="s">
        <v>7</v>
      </c>
      <c r="D21" s="45" t="s">
        <v>13</v>
      </c>
    </row>
    <row r="22" spans="1:8" ht="39.6" x14ac:dyDescent="0.25">
      <c r="A22" s="5" t="s">
        <v>29</v>
      </c>
      <c r="B22" s="4">
        <v>2</v>
      </c>
      <c r="C22" s="86" t="s">
        <v>33</v>
      </c>
      <c r="D22" s="9"/>
    </row>
    <row r="23" spans="1:8" ht="39.6" x14ac:dyDescent="0.25">
      <c r="A23" s="1" t="s">
        <v>30</v>
      </c>
      <c r="B23" s="2">
        <v>1</v>
      </c>
      <c r="C23" s="87" t="s">
        <v>34</v>
      </c>
      <c r="D23" s="10"/>
    </row>
    <row r="24" spans="1:8" ht="39.6" x14ac:dyDescent="0.25">
      <c r="A24" s="1" t="s">
        <v>47</v>
      </c>
      <c r="B24" s="2">
        <v>3</v>
      </c>
      <c r="C24" s="87" t="s">
        <v>44</v>
      </c>
      <c r="D24" s="10"/>
    </row>
    <row r="25" spans="1:8" ht="46.5" customHeight="1" x14ac:dyDescent="0.25">
      <c r="A25" s="1" t="s">
        <v>35</v>
      </c>
      <c r="B25" s="2">
        <v>3</v>
      </c>
      <c r="C25" s="87" t="s">
        <v>38</v>
      </c>
      <c r="D25" s="10"/>
      <c r="F25" s="31"/>
      <c r="G25" s="32"/>
      <c r="H25" s="33"/>
    </row>
    <row r="26" spans="1:8" ht="39.6" x14ac:dyDescent="0.25">
      <c r="A26" s="1" t="s">
        <v>36</v>
      </c>
      <c r="B26" s="2">
        <v>1</v>
      </c>
      <c r="C26" s="87" t="s">
        <v>39</v>
      </c>
      <c r="D26" s="10"/>
      <c r="F26" s="34"/>
      <c r="G26" s="30"/>
      <c r="H26" s="30"/>
    </row>
    <row r="27" spans="1:8" ht="39.6" x14ac:dyDescent="0.25">
      <c r="A27" s="1" t="s">
        <v>37</v>
      </c>
      <c r="B27" s="2">
        <v>2</v>
      </c>
      <c r="C27" s="87" t="s">
        <v>40</v>
      </c>
      <c r="D27" s="10"/>
      <c r="F27" s="36"/>
      <c r="G27" s="37"/>
      <c r="H27" s="37"/>
    </row>
    <row r="28" spans="1:8" x14ac:dyDescent="0.25">
      <c r="A28" s="1"/>
      <c r="B28" s="2"/>
      <c r="C28" s="10"/>
      <c r="D28" s="10"/>
      <c r="F28" s="36"/>
      <c r="G28" s="37"/>
      <c r="H28" s="37"/>
    </row>
    <row r="29" spans="1:8" x14ac:dyDescent="0.25">
      <c r="A29" s="1"/>
      <c r="B29" s="2"/>
      <c r="C29" s="10"/>
      <c r="D29" s="10"/>
      <c r="F29" s="36"/>
      <c r="G29" s="37"/>
      <c r="H29" s="37"/>
    </row>
    <row r="30" spans="1:8" x14ac:dyDescent="0.25">
      <c r="A30" s="1"/>
      <c r="B30" s="2"/>
      <c r="C30" s="10"/>
      <c r="D30" s="10"/>
      <c r="F30" s="36"/>
      <c r="G30" s="37"/>
      <c r="H30" s="37"/>
    </row>
    <row r="31" spans="1:8" x14ac:dyDescent="0.25">
      <c r="A31" s="2"/>
      <c r="B31" s="2"/>
      <c r="C31" s="10"/>
      <c r="D31" s="10"/>
      <c r="F31" s="36"/>
      <c r="G31" s="37"/>
      <c r="H31" s="37"/>
    </row>
    <row r="32" spans="1:8" x14ac:dyDescent="0.25">
      <c r="A32" s="2"/>
      <c r="B32" s="2"/>
      <c r="C32" s="10"/>
      <c r="D32" s="10"/>
      <c r="F32" s="36"/>
      <c r="G32" s="37"/>
      <c r="H32" s="37"/>
    </row>
    <row r="33" spans="1:8" x14ac:dyDescent="0.25">
      <c r="A33" s="2"/>
      <c r="B33" s="2"/>
      <c r="C33" s="10"/>
      <c r="D33" s="10"/>
      <c r="F33" s="36"/>
      <c r="G33" s="37"/>
      <c r="H33" s="37"/>
    </row>
    <row r="34" spans="1:8" x14ac:dyDescent="0.25">
      <c r="A34" s="50"/>
      <c r="B34" s="50"/>
      <c r="C34" s="51"/>
      <c r="D34" s="51"/>
      <c r="F34" s="36"/>
      <c r="G34" s="37"/>
      <c r="H34" s="37"/>
    </row>
    <row r="35" spans="1:8" x14ac:dyDescent="0.25">
      <c r="A35" s="50"/>
      <c r="B35" s="50"/>
      <c r="C35" s="51"/>
      <c r="D35" s="51"/>
      <c r="F35" s="38"/>
      <c r="G35" s="39"/>
      <c r="H35" s="39"/>
    </row>
    <row r="36" spans="1:8" ht="14.4" thickBot="1" x14ac:dyDescent="0.35">
      <c r="A36" s="3"/>
      <c r="B36" s="3"/>
      <c r="C36" s="11"/>
      <c r="D36" s="11"/>
      <c r="F36" s="40"/>
      <c r="G36" s="40"/>
      <c r="H36" s="40"/>
    </row>
    <row r="37" spans="1:8" ht="13.8" thickBot="1" x14ac:dyDescent="0.3">
      <c r="A37" s="47" t="s">
        <v>22</v>
      </c>
      <c r="B37" s="47">
        <f>SUM(B22:B36)</f>
        <v>12</v>
      </c>
      <c r="C37" s="85" t="s">
        <v>31</v>
      </c>
      <c r="D37" s="48"/>
    </row>
    <row r="38" spans="1:8" ht="14.4" thickBot="1" x14ac:dyDescent="0.35">
      <c r="A38" s="49"/>
      <c r="B38" s="49"/>
      <c r="C38" s="49"/>
      <c r="D38" s="49"/>
    </row>
    <row r="39" spans="1:8" ht="18" thickBot="1" x14ac:dyDescent="0.3">
      <c r="A39" s="42" t="s">
        <v>14</v>
      </c>
      <c r="B39" s="43">
        <v>3</v>
      </c>
      <c r="C39" s="44" t="s">
        <v>23</v>
      </c>
      <c r="D39" s="53">
        <f>$D$20+7</f>
        <v>45978</v>
      </c>
    </row>
    <row r="40" spans="1:8" ht="23.4" thickBot="1" x14ac:dyDescent="0.3">
      <c r="A40" s="45" t="s">
        <v>3</v>
      </c>
      <c r="B40" s="46" t="s">
        <v>15</v>
      </c>
      <c r="C40" s="45" t="s">
        <v>7</v>
      </c>
      <c r="D40" s="45" t="s">
        <v>13</v>
      </c>
    </row>
    <row r="41" spans="1:8" ht="26.4" x14ac:dyDescent="0.25">
      <c r="A41" s="5" t="s">
        <v>41</v>
      </c>
      <c r="B41" s="4">
        <v>1</v>
      </c>
      <c r="C41" s="86" t="s">
        <v>42</v>
      </c>
      <c r="D41" s="9"/>
    </row>
    <row r="42" spans="1:8" ht="158.4" x14ac:dyDescent="0.25">
      <c r="A42" s="1" t="s">
        <v>43</v>
      </c>
      <c r="B42" s="2">
        <v>11</v>
      </c>
      <c r="C42" s="87" t="s">
        <v>45</v>
      </c>
      <c r="D42" s="10"/>
    </row>
    <row r="43" spans="1:8" x14ac:dyDescent="0.25">
      <c r="A43" s="1"/>
      <c r="B43" s="2"/>
      <c r="C43" s="10"/>
      <c r="D43" s="10"/>
    </row>
    <row r="44" spans="1:8" x14ac:dyDescent="0.25">
      <c r="A44" s="1"/>
      <c r="B44" s="2"/>
      <c r="C44" s="10"/>
      <c r="D44" s="10"/>
    </row>
    <row r="45" spans="1:8" x14ac:dyDescent="0.25">
      <c r="A45" s="1"/>
      <c r="B45" s="2"/>
      <c r="C45" s="10"/>
      <c r="D45" s="10"/>
    </row>
    <row r="46" spans="1:8" x14ac:dyDescent="0.25">
      <c r="A46" s="1"/>
      <c r="B46" s="2"/>
      <c r="C46" s="10"/>
      <c r="D46" s="10"/>
    </row>
    <row r="47" spans="1:8" x14ac:dyDescent="0.25">
      <c r="A47" s="1"/>
      <c r="B47" s="2"/>
      <c r="C47" s="10"/>
      <c r="D47" s="10"/>
    </row>
    <row r="48" spans="1:8" x14ac:dyDescent="0.25">
      <c r="A48" s="1"/>
      <c r="B48" s="2"/>
      <c r="C48" s="10"/>
      <c r="D48" s="10"/>
    </row>
    <row r="49" spans="1:4" x14ac:dyDescent="0.25">
      <c r="A49" s="1"/>
      <c r="B49" s="2"/>
      <c r="C49" s="10"/>
      <c r="D49" s="10"/>
    </row>
    <row r="50" spans="1:4" x14ac:dyDescent="0.25">
      <c r="A50" s="2"/>
      <c r="B50" s="2"/>
      <c r="C50" s="10"/>
      <c r="D50" s="10"/>
    </row>
    <row r="51" spans="1:4" x14ac:dyDescent="0.25">
      <c r="A51" s="2"/>
      <c r="B51" s="2"/>
      <c r="C51" s="10"/>
      <c r="D51" s="10"/>
    </row>
    <row r="52" spans="1:4" x14ac:dyDescent="0.25">
      <c r="A52" s="2"/>
      <c r="B52" s="2"/>
      <c r="C52" s="10"/>
      <c r="D52" s="10"/>
    </row>
    <row r="53" spans="1:4" x14ac:dyDescent="0.25">
      <c r="A53" s="50"/>
      <c r="B53" s="50"/>
      <c r="C53" s="51"/>
      <c r="D53" s="51"/>
    </row>
    <row r="54" spans="1:4" x14ac:dyDescent="0.25">
      <c r="A54" s="50"/>
      <c r="B54" s="50"/>
      <c r="C54" s="51"/>
      <c r="D54" s="51"/>
    </row>
    <row r="55" spans="1:4" ht="13.8" thickBot="1" x14ac:dyDescent="0.3">
      <c r="A55" s="3"/>
      <c r="B55" s="3"/>
      <c r="C55" s="11"/>
      <c r="D55" s="11"/>
    </row>
    <row r="56" spans="1:4" ht="13.8" thickBot="1" x14ac:dyDescent="0.3">
      <c r="A56" s="47" t="s">
        <v>22</v>
      </c>
      <c r="B56" s="47">
        <f>SUM(B41:B55)</f>
        <v>12</v>
      </c>
      <c r="C56" s="85" t="s">
        <v>31</v>
      </c>
      <c r="D56" s="48"/>
    </row>
    <row r="57" spans="1:4" ht="14.4" thickBot="1" x14ac:dyDescent="0.35">
      <c r="A57" s="49"/>
      <c r="B57" s="49"/>
      <c r="C57" s="49"/>
      <c r="D57" s="49"/>
    </row>
    <row r="58" spans="1:4" ht="18" thickBot="1" x14ac:dyDescent="0.3">
      <c r="A58" s="42" t="s">
        <v>14</v>
      </c>
      <c r="B58" s="43">
        <v>4</v>
      </c>
      <c r="C58" s="44" t="s">
        <v>23</v>
      </c>
      <c r="D58" s="53">
        <f>$D$39+7</f>
        <v>45985</v>
      </c>
    </row>
    <row r="59" spans="1:4" ht="23.4" thickBot="1" x14ac:dyDescent="0.3">
      <c r="A59" s="45" t="s">
        <v>3</v>
      </c>
      <c r="B59" s="46" t="s">
        <v>15</v>
      </c>
      <c r="C59" s="45" t="s">
        <v>7</v>
      </c>
      <c r="D59" s="45" t="s">
        <v>13</v>
      </c>
    </row>
    <row r="60" spans="1:4" ht="52.8" x14ac:dyDescent="0.25">
      <c r="A60" s="5" t="s">
        <v>46</v>
      </c>
      <c r="B60" s="4">
        <v>7</v>
      </c>
      <c r="C60" s="86" t="s">
        <v>48</v>
      </c>
      <c r="D60" s="88"/>
    </row>
    <row r="61" spans="1:4" ht="39.6" x14ac:dyDescent="0.25">
      <c r="A61" s="1" t="s">
        <v>49</v>
      </c>
      <c r="B61" s="2">
        <v>1</v>
      </c>
      <c r="C61" s="87" t="s">
        <v>51</v>
      </c>
      <c r="D61" s="10"/>
    </row>
    <row r="62" spans="1:4" ht="26.4" x14ac:dyDescent="0.25">
      <c r="A62" s="1" t="s">
        <v>50</v>
      </c>
      <c r="B62" s="2">
        <v>2</v>
      </c>
      <c r="C62" s="87" t="s">
        <v>52</v>
      </c>
      <c r="D62" s="10"/>
    </row>
    <row r="63" spans="1:4" ht="26.4" x14ac:dyDescent="0.25">
      <c r="A63" s="1" t="s">
        <v>53</v>
      </c>
      <c r="B63" s="2">
        <v>2</v>
      </c>
      <c r="C63" s="87" t="s">
        <v>54</v>
      </c>
      <c r="D63" s="10"/>
    </row>
    <row r="64" spans="1:4" x14ac:dyDescent="0.25">
      <c r="A64" s="1"/>
      <c r="B64" s="2"/>
      <c r="C64" s="87"/>
      <c r="D64" s="10"/>
    </row>
    <row r="65" spans="1:4" x14ac:dyDescent="0.25">
      <c r="A65" s="1"/>
      <c r="B65" s="2"/>
      <c r="C65" s="10"/>
      <c r="D65" s="10"/>
    </row>
    <row r="66" spans="1:4" x14ac:dyDescent="0.25">
      <c r="A66" s="1"/>
      <c r="B66" s="2"/>
      <c r="C66" s="10"/>
      <c r="D66" s="10"/>
    </row>
    <row r="67" spans="1:4" x14ac:dyDescent="0.25">
      <c r="A67" s="1"/>
      <c r="B67" s="2"/>
      <c r="C67" s="10"/>
      <c r="D67" s="10"/>
    </row>
    <row r="68" spans="1:4" x14ac:dyDescent="0.25">
      <c r="A68" s="1"/>
      <c r="B68" s="2"/>
      <c r="C68" s="10"/>
      <c r="D68" s="10"/>
    </row>
    <row r="69" spans="1:4" x14ac:dyDescent="0.25">
      <c r="A69" s="2"/>
      <c r="B69" s="2"/>
      <c r="C69" s="10"/>
      <c r="D69" s="10"/>
    </row>
    <row r="70" spans="1:4" x14ac:dyDescent="0.25">
      <c r="A70" s="2"/>
      <c r="B70" s="2"/>
      <c r="C70" s="10"/>
      <c r="D70" s="10"/>
    </row>
    <row r="71" spans="1:4" x14ac:dyDescent="0.25">
      <c r="A71" s="2"/>
      <c r="B71" s="2"/>
      <c r="C71" s="10"/>
      <c r="D71" s="10"/>
    </row>
    <row r="72" spans="1:4" x14ac:dyDescent="0.25">
      <c r="A72" s="50"/>
      <c r="B72" s="50"/>
      <c r="C72" s="51"/>
      <c r="D72" s="51"/>
    </row>
    <row r="73" spans="1:4" x14ac:dyDescent="0.25">
      <c r="A73" s="50"/>
      <c r="B73" s="50"/>
      <c r="C73" s="51"/>
      <c r="D73" s="51"/>
    </row>
    <row r="74" spans="1:4" ht="13.8" thickBot="1" x14ac:dyDescent="0.3">
      <c r="A74" s="3"/>
      <c r="B74" s="3"/>
      <c r="C74" s="11"/>
      <c r="D74" s="11"/>
    </row>
    <row r="75" spans="1:4" ht="13.8" thickBot="1" x14ac:dyDescent="0.3">
      <c r="A75" s="47" t="s">
        <v>22</v>
      </c>
      <c r="B75" s="47">
        <f>SUM(B60:B74)</f>
        <v>12</v>
      </c>
      <c r="C75" s="85" t="s">
        <v>31</v>
      </c>
      <c r="D75" s="48"/>
    </row>
    <row r="76" spans="1:4" ht="14.4" thickBot="1" x14ac:dyDescent="0.35">
      <c r="A76" s="49"/>
      <c r="B76" s="49"/>
      <c r="C76" s="49"/>
      <c r="D76" s="49"/>
    </row>
    <row r="77" spans="1:4" ht="18" thickBot="1" x14ac:dyDescent="0.3">
      <c r="A77" s="42" t="s">
        <v>14</v>
      </c>
      <c r="B77" s="43">
        <v>5</v>
      </c>
      <c r="C77" s="44" t="s">
        <v>23</v>
      </c>
      <c r="D77" s="53">
        <f>$D$58+7</f>
        <v>45992</v>
      </c>
    </row>
    <row r="78" spans="1:4" ht="23.4" thickBot="1" x14ac:dyDescent="0.3">
      <c r="A78" s="45" t="s">
        <v>3</v>
      </c>
      <c r="B78" s="46" t="s">
        <v>15</v>
      </c>
      <c r="C78" s="45" t="s">
        <v>7</v>
      </c>
      <c r="D78" s="45" t="s">
        <v>13</v>
      </c>
    </row>
    <row r="79" spans="1:4" x14ac:dyDescent="0.25">
      <c r="A79" s="5" t="s">
        <v>21</v>
      </c>
      <c r="B79" s="4">
        <v>6</v>
      </c>
      <c r="C79" s="86" t="s">
        <v>55</v>
      </c>
      <c r="D79" s="9"/>
    </row>
    <row r="80" spans="1:4" ht="52.8" x14ac:dyDescent="0.25">
      <c r="A80" s="1" t="s">
        <v>56</v>
      </c>
      <c r="B80" s="2">
        <v>3</v>
      </c>
      <c r="C80" s="87" t="s">
        <v>57</v>
      </c>
      <c r="D80" s="10"/>
    </row>
    <row r="81" spans="1:4" ht="52.8" x14ac:dyDescent="0.25">
      <c r="A81" s="1" t="s">
        <v>58</v>
      </c>
      <c r="B81" s="2">
        <v>3</v>
      </c>
      <c r="C81" s="87" t="s">
        <v>60</v>
      </c>
      <c r="D81" s="10"/>
    </row>
    <row r="82" spans="1:4" x14ac:dyDescent="0.25">
      <c r="A82" s="1"/>
      <c r="B82" s="2"/>
      <c r="C82" s="10"/>
      <c r="D82" s="10"/>
    </row>
    <row r="83" spans="1:4" x14ac:dyDescent="0.25">
      <c r="A83" s="1"/>
      <c r="B83" s="2"/>
      <c r="C83" s="10"/>
      <c r="D83" s="10"/>
    </row>
    <row r="84" spans="1:4" x14ac:dyDescent="0.25">
      <c r="A84" s="1"/>
      <c r="B84" s="2"/>
      <c r="C84" s="10"/>
      <c r="D84" s="10"/>
    </row>
    <row r="85" spans="1:4" x14ac:dyDescent="0.25">
      <c r="A85" s="1"/>
      <c r="B85" s="2"/>
      <c r="C85" s="10"/>
      <c r="D85" s="10"/>
    </row>
    <row r="86" spans="1:4" x14ac:dyDescent="0.25">
      <c r="A86" s="1"/>
      <c r="B86" s="2"/>
      <c r="C86" s="10"/>
      <c r="D86" s="10"/>
    </row>
    <row r="87" spans="1:4" x14ac:dyDescent="0.25">
      <c r="A87" s="1"/>
      <c r="B87" s="2"/>
      <c r="C87" s="10"/>
      <c r="D87" s="10"/>
    </row>
    <row r="88" spans="1:4" x14ac:dyDescent="0.25">
      <c r="A88" s="2"/>
      <c r="B88" s="2"/>
      <c r="C88" s="10"/>
      <c r="D88" s="10"/>
    </row>
    <row r="89" spans="1:4" x14ac:dyDescent="0.25">
      <c r="A89" s="2"/>
      <c r="B89" s="2"/>
      <c r="C89" s="10"/>
      <c r="D89" s="10"/>
    </row>
    <row r="90" spans="1:4" x14ac:dyDescent="0.25">
      <c r="A90" s="2"/>
      <c r="B90" s="2"/>
      <c r="C90" s="10"/>
      <c r="D90" s="10"/>
    </row>
    <row r="91" spans="1:4" x14ac:dyDescent="0.25">
      <c r="A91" s="50"/>
      <c r="B91" s="50"/>
      <c r="C91" s="51"/>
      <c r="D91" s="51"/>
    </row>
    <row r="92" spans="1:4" x14ac:dyDescent="0.25">
      <c r="A92" s="50"/>
      <c r="B92" s="50"/>
      <c r="C92" s="51"/>
      <c r="D92" s="51"/>
    </row>
    <row r="93" spans="1:4" ht="13.8" thickBot="1" x14ac:dyDescent="0.3">
      <c r="A93" s="3"/>
      <c r="B93" s="3"/>
      <c r="C93" s="11"/>
      <c r="D93" s="11"/>
    </row>
    <row r="94" spans="1:4" ht="13.8" thickBot="1" x14ac:dyDescent="0.3">
      <c r="A94" s="47" t="s">
        <v>22</v>
      </c>
      <c r="B94" s="47">
        <f>SUM(B79:B93)</f>
        <v>12</v>
      </c>
      <c r="C94" s="85" t="s">
        <v>31</v>
      </c>
      <c r="D94" s="48"/>
    </row>
    <row r="95" spans="1:4" ht="14.4" thickBot="1" x14ac:dyDescent="0.35">
      <c r="A95" s="49"/>
      <c r="B95" s="49"/>
      <c r="C95" s="49"/>
      <c r="D95" s="49"/>
    </row>
    <row r="96" spans="1:4" ht="18" thickBot="1" x14ac:dyDescent="0.3">
      <c r="A96" s="42" t="s">
        <v>14</v>
      </c>
      <c r="B96" s="43">
        <v>6</v>
      </c>
      <c r="C96" s="44" t="s">
        <v>23</v>
      </c>
      <c r="D96" s="53">
        <f>$D$77+7</f>
        <v>45999</v>
      </c>
    </row>
    <row r="97" spans="1:4" ht="23.4" thickBot="1" x14ac:dyDescent="0.3">
      <c r="A97" s="45" t="s">
        <v>3</v>
      </c>
      <c r="B97" s="46" t="s">
        <v>15</v>
      </c>
      <c r="C97" s="45" t="s">
        <v>7</v>
      </c>
      <c r="D97" s="45" t="s">
        <v>13</v>
      </c>
    </row>
    <row r="98" spans="1:4" x14ac:dyDescent="0.25">
      <c r="A98" s="5" t="s">
        <v>21</v>
      </c>
      <c r="B98" s="4">
        <v>12</v>
      </c>
      <c r="C98" s="86"/>
      <c r="D98" s="89"/>
    </row>
    <row r="99" spans="1:4" x14ac:dyDescent="0.25">
      <c r="A99" s="1"/>
      <c r="B99" s="2"/>
      <c r="C99" s="87"/>
      <c r="D99" s="90"/>
    </row>
    <row r="100" spans="1:4" x14ac:dyDescent="0.25">
      <c r="A100" s="1"/>
      <c r="B100" s="2"/>
      <c r="C100" s="10"/>
      <c r="D100" s="10"/>
    </row>
    <row r="101" spans="1:4" x14ac:dyDescent="0.25">
      <c r="A101" s="1"/>
      <c r="B101" s="2"/>
      <c r="C101" s="10"/>
      <c r="D101" s="10"/>
    </row>
    <row r="102" spans="1:4" x14ac:dyDescent="0.25">
      <c r="A102" s="1"/>
      <c r="B102" s="2"/>
      <c r="C102" s="10"/>
      <c r="D102" s="10"/>
    </row>
    <row r="103" spans="1:4" x14ac:dyDescent="0.25">
      <c r="A103" s="1"/>
      <c r="B103" s="2"/>
      <c r="C103" s="10"/>
      <c r="D103" s="10"/>
    </row>
    <row r="104" spans="1:4" x14ac:dyDescent="0.25">
      <c r="A104" s="1"/>
      <c r="B104" s="2"/>
      <c r="C104" s="10"/>
      <c r="D104" s="10"/>
    </row>
    <row r="105" spans="1:4" x14ac:dyDescent="0.25">
      <c r="A105" s="1"/>
      <c r="B105" s="2"/>
      <c r="C105" s="10"/>
      <c r="D105" s="10"/>
    </row>
    <row r="106" spans="1:4" x14ac:dyDescent="0.25">
      <c r="A106" s="1"/>
      <c r="B106" s="2"/>
      <c r="C106" s="10"/>
      <c r="D106" s="10"/>
    </row>
    <row r="107" spans="1:4" x14ac:dyDescent="0.25">
      <c r="A107" s="2"/>
      <c r="B107" s="2"/>
      <c r="C107" s="10"/>
      <c r="D107" s="10"/>
    </row>
    <row r="108" spans="1:4" x14ac:dyDescent="0.25">
      <c r="A108" s="2"/>
      <c r="B108" s="2"/>
      <c r="C108" s="10"/>
      <c r="D108" s="10"/>
    </row>
    <row r="109" spans="1:4" x14ac:dyDescent="0.25">
      <c r="A109" s="2"/>
      <c r="B109" s="2"/>
      <c r="C109" s="10"/>
      <c r="D109" s="10"/>
    </row>
    <row r="110" spans="1:4" x14ac:dyDescent="0.25">
      <c r="A110" s="50"/>
      <c r="B110" s="50"/>
      <c r="C110" s="51"/>
      <c r="D110" s="51"/>
    </row>
    <row r="111" spans="1:4" x14ac:dyDescent="0.25">
      <c r="A111" s="50"/>
      <c r="B111" s="50"/>
      <c r="C111" s="51"/>
      <c r="D111" s="51"/>
    </row>
    <row r="112" spans="1:4" ht="13.8" thickBot="1" x14ac:dyDescent="0.3">
      <c r="A112" s="3"/>
      <c r="B112" s="3"/>
      <c r="C112" s="11"/>
      <c r="D112" s="11"/>
    </row>
    <row r="113" spans="1:4" ht="13.8" thickBot="1" x14ac:dyDescent="0.3">
      <c r="A113" s="47" t="s">
        <v>22</v>
      </c>
      <c r="B113" s="47">
        <f>SUM(B98:B112)</f>
        <v>12</v>
      </c>
      <c r="C113" s="85" t="s">
        <v>31</v>
      </c>
      <c r="D113" s="48"/>
    </row>
    <row r="114" spans="1:4" ht="14.4" thickBot="1" x14ac:dyDescent="0.35">
      <c r="A114" s="49"/>
      <c r="B114" s="49"/>
      <c r="C114" s="49"/>
      <c r="D114" s="49"/>
    </row>
    <row r="115" spans="1:4" ht="18" thickBot="1" x14ac:dyDescent="0.3">
      <c r="A115" s="42" t="s">
        <v>14</v>
      </c>
      <c r="B115" s="43">
        <v>7</v>
      </c>
      <c r="C115" s="44" t="s">
        <v>23</v>
      </c>
      <c r="D115" s="53">
        <f>$D$96+7</f>
        <v>46006</v>
      </c>
    </row>
    <row r="116" spans="1:4" ht="23.4" thickBot="1" x14ac:dyDescent="0.3">
      <c r="A116" s="45" t="s">
        <v>3</v>
      </c>
      <c r="B116" s="46" t="s">
        <v>15</v>
      </c>
      <c r="C116" s="45" t="s">
        <v>7</v>
      </c>
      <c r="D116" s="45" t="s">
        <v>13</v>
      </c>
    </row>
    <row r="117" spans="1:4" ht="39.6" x14ac:dyDescent="0.25">
      <c r="A117" s="5" t="s">
        <v>61</v>
      </c>
      <c r="B117" s="4">
        <v>1</v>
      </c>
      <c r="C117" s="86" t="s">
        <v>64</v>
      </c>
      <c r="D117" s="9"/>
    </row>
    <row r="118" spans="1:4" ht="26.4" x14ac:dyDescent="0.25">
      <c r="A118" s="1" t="s">
        <v>62</v>
      </c>
      <c r="B118" s="2">
        <v>3</v>
      </c>
      <c r="C118" s="87" t="s">
        <v>65</v>
      </c>
      <c r="D118" s="10"/>
    </row>
    <row r="119" spans="1:4" ht="52.8" x14ac:dyDescent="0.25">
      <c r="A119" s="1" t="s">
        <v>63</v>
      </c>
      <c r="B119" s="2">
        <v>1</v>
      </c>
      <c r="C119" s="87" t="s">
        <v>66</v>
      </c>
      <c r="D119" s="90"/>
    </row>
    <row r="120" spans="1:4" ht="26.4" x14ac:dyDescent="0.25">
      <c r="A120" s="1" t="s">
        <v>67</v>
      </c>
      <c r="B120" s="2">
        <v>4</v>
      </c>
      <c r="C120" s="87" t="s">
        <v>68</v>
      </c>
      <c r="D120" s="10"/>
    </row>
    <row r="121" spans="1:4" ht="39.6" x14ac:dyDescent="0.25">
      <c r="A121" s="1" t="s">
        <v>69</v>
      </c>
      <c r="B121" s="2">
        <v>3</v>
      </c>
      <c r="C121" s="87" t="s">
        <v>70</v>
      </c>
      <c r="D121" s="10"/>
    </row>
    <row r="122" spans="1:4" ht="15" x14ac:dyDescent="0.25">
      <c r="A122" s="1"/>
      <c r="B122" s="2"/>
      <c r="C122" s="98" t="s">
        <v>71</v>
      </c>
      <c r="D122" s="10"/>
    </row>
    <row r="123" spans="1:4" x14ac:dyDescent="0.25">
      <c r="A123" s="1"/>
      <c r="B123" s="2"/>
      <c r="C123" s="97" t="s">
        <v>72</v>
      </c>
      <c r="D123" s="10"/>
    </row>
    <row r="124" spans="1:4" ht="26.4" x14ac:dyDescent="0.25">
      <c r="A124" s="1" t="s">
        <v>76</v>
      </c>
      <c r="B124" s="2">
        <v>2</v>
      </c>
      <c r="C124" s="101" t="s">
        <v>75</v>
      </c>
      <c r="D124" s="10"/>
    </row>
    <row r="125" spans="1:4" ht="39.6" x14ac:dyDescent="0.25">
      <c r="A125" s="1" t="s">
        <v>73</v>
      </c>
      <c r="B125" s="2">
        <v>1</v>
      </c>
      <c r="C125" s="99" t="s">
        <v>74</v>
      </c>
      <c r="D125" s="10"/>
    </row>
    <row r="126" spans="1:4" ht="53.4" thickBot="1" x14ac:dyDescent="0.3">
      <c r="A126" s="2" t="s">
        <v>77</v>
      </c>
      <c r="B126" s="2">
        <v>2</v>
      </c>
      <c r="C126" s="87" t="s">
        <v>81</v>
      </c>
      <c r="D126" s="10"/>
    </row>
    <row r="127" spans="1:4" ht="52.8" x14ac:dyDescent="0.25">
      <c r="A127" s="2" t="s">
        <v>78</v>
      </c>
      <c r="B127" s="2">
        <v>4</v>
      </c>
      <c r="C127" s="86" t="s">
        <v>79</v>
      </c>
      <c r="D127" s="10"/>
    </row>
    <row r="128" spans="1:4" ht="66" x14ac:dyDescent="0.25">
      <c r="A128" s="100" t="s">
        <v>80</v>
      </c>
      <c r="B128" s="2">
        <v>4</v>
      </c>
      <c r="C128" s="96" t="s">
        <v>82</v>
      </c>
      <c r="D128" s="10"/>
    </row>
    <row r="129" spans="1:4" ht="39.6" x14ac:dyDescent="0.25">
      <c r="A129" s="50" t="s">
        <v>83</v>
      </c>
      <c r="B129" s="50">
        <v>1</v>
      </c>
      <c r="C129" s="102" t="s">
        <v>85</v>
      </c>
      <c r="D129" s="51"/>
    </row>
    <row r="130" spans="1:4" ht="39.6" x14ac:dyDescent="0.25">
      <c r="A130" s="50" t="s">
        <v>84</v>
      </c>
      <c r="B130" s="50">
        <v>4</v>
      </c>
      <c r="C130" s="102" t="s">
        <v>87</v>
      </c>
      <c r="D130" s="51"/>
    </row>
    <row r="131" spans="1:4" ht="39.6" x14ac:dyDescent="0.25">
      <c r="A131" s="50" t="s">
        <v>88</v>
      </c>
      <c r="B131" s="50">
        <v>3</v>
      </c>
      <c r="C131" s="102" t="s">
        <v>93</v>
      </c>
      <c r="D131" s="51"/>
    </row>
    <row r="132" spans="1:4" ht="39.6" x14ac:dyDescent="0.25">
      <c r="A132" s="50" t="s">
        <v>89</v>
      </c>
      <c r="B132" s="50">
        <v>3</v>
      </c>
      <c r="C132" s="102" t="s">
        <v>94</v>
      </c>
      <c r="D132" s="51"/>
    </row>
    <row r="133" spans="1:4" ht="39.6" x14ac:dyDescent="0.25">
      <c r="A133" s="50" t="s">
        <v>90</v>
      </c>
      <c r="B133" s="50">
        <v>4</v>
      </c>
      <c r="C133" s="102" t="s">
        <v>95</v>
      </c>
      <c r="D133" s="51"/>
    </row>
    <row r="134" spans="1:4" ht="39.6" x14ac:dyDescent="0.25">
      <c r="A134" s="50" t="s">
        <v>91</v>
      </c>
      <c r="B134" s="50">
        <v>2</v>
      </c>
      <c r="C134" s="102" t="s">
        <v>96</v>
      </c>
      <c r="D134" s="51"/>
    </row>
    <row r="135" spans="1:4" ht="40.200000000000003" thickBot="1" x14ac:dyDescent="0.3">
      <c r="A135" s="3" t="s">
        <v>92</v>
      </c>
      <c r="B135" s="3">
        <v>5</v>
      </c>
      <c r="C135" s="103" t="s">
        <v>97</v>
      </c>
      <c r="D135" s="11"/>
    </row>
    <row r="136" spans="1:4" ht="13.8" thickBot="1" x14ac:dyDescent="0.3">
      <c r="A136" s="47" t="s">
        <v>22</v>
      </c>
      <c r="B136" s="47">
        <f>SUM(B117:B135)</f>
        <v>47</v>
      </c>
      <c r="C136" s="85" t="s">
        <v>31</v>
      </c>
      <c r="D136" s="48"/>
    </row>
    <row r="137" spans="1:4" ht="14.4" thickBot="1" x14ac:dyDescent="0.35">
      <c r="A137" s="49"/>
      <c r="B137" s="49"/>
      <c r="C137" s="49"/>
      <c r="D137" s="49"/>
    </row>
    <row r="138" spans="1:4" ht="18" thickBot="1" x14ac:dyDescent="0.3">
      <c r="A138" s="42" t="s">
        <v>14</v>
      </c>
      <c r="B138" s="43">
        <v>8</v>
      </c>
      <c r="C138" s="44" t="s">
        <v>23</v>
      </c>
      <c r="D138" s="53">
        <f>$D$115+7</f>
        <v>46013</v>
      </c>
    </row>
    <row r="139" spans="1:4" ht="23.4" thickBot="1" x14ac:dyDescent="0.3">
      <c r="A139" s="45" t="s">
        <v>3</v>
      </c>
      <c r="B139" s="46" t="s">
        <v>15</v>
      </c>
      <c r="C139" s="45" t="s">
        <v>7</v>
      </c>
      <c r="D139" s="45" t="s">
        <v>13</v>
      </c>
    </row>
    <row r="140" spans="1:4" x14ac:dyDescent="0.25">
      <c r="A140" s="5"/>
      <c r="B140" s="4"/>
      <c r="C140" s="91"/>
      <c r="D140" s="9"/>
    </row>
    <row r="141" spans="1:4" x14ac:dyDescent="0.25">
      <c r="A141" s="1"/>
      <c r="B141" s="2"/>
      <c r="C141" s="87"/>
      <c r="D141" s="10"/>
    </row>
    <row r="142" spans="1:4" x14ac:dyDescent="0.25">
      <c r="A142" s="1"/>
      <c r="B142" s="2"/>
      <c r="C142" s="10"/>
      <c r="D142" s="10"/>
    </row>
    <row r="143" spans="1:4" x14ac:dyDescent="0.25">
      <c r="A143" s="1"/>
      <c r="B143" s="2"/>
      <c r="C143" s="10"/>
      <c r="D143" s="10"/>
    </row>
    <row r="144" spans="1:4" x14ac:dyDescent="0.25">
      <c r="A144" s="1"/>
      <c r="B144" s="2"/>
      <c r="C144" s="10"/>
      <c r="D144" s="10"/>
    </row>
    <row r="145" spans="1:4" x14ac:dyDescent="0.25">
      <c r="A145" s="1"/>
      <c r="B145" s="2"/>
      <c r="C145" s="10"/>
      <c r="D145" s="10"/>
    </row>
    <row r="146" spans="1:4" x14ac:dyDescent="0.25">
      <c r="A146" s="1"/>
      <c r="B146" s="2"/>
      <c r="C146" s="10"/>
      <c r="D146" s="10"/>
    </row>
    <row r="147" spans="1:4" x14ac:dyDescent="0.25">
      <c r="A147" s="1"/>
      <c r="B147" s="2"/>
      <c r="C147" s="10"/>
      <c r="D147" s="10"/>
    </row>
    <row r="148" spans="1:4" x14ac:dyDescent="0.25">
      <c r="A148" s="1"/>
      <c r="B148" s="2"/>
      <c r="C148" s="10"/>
      <c r="D148" s="10"/>
    </row>
    <row r="149" spans="1:4" x14ac:dyDescent="0.25">
      <c r="A149" s="2"/>
      <c r="B149" s="2"/>
      <c r="C149" s="10"/>
      <c r="D149" s="10"/>
    </row>
    <row r="150" spans="1:4" x14ac:dyDescent="0.25">
      <c r="A150" s="2"/>
      <c r="B150" s="2"/>
      <c r="C150" s="10"/>
      <c r="D150" s="10"/>
    </row>
    <row r="151" spans="1:4" x14ac:dyDescent="0.25">
      <c r="A151" s="2"/>
      <c r="B151" s="2"/>
      <c r="C151" s="10"/>
      <c r="D151" s="10"/>
    </row>
    <row r="152" spans="1:4" x14ac:dyDescent="0.25">
      <c r="A152" s="50"/>
      <c r="B152" s="50"/>
      <c r="C152" s="51"/>
      <c r="D152" s="51"/>
    </row>
    <row r="153" spans="1:4" x14ac:dyDescent="0.25">
      <c r="A153" s="50"/>
      <c r="B153" s="50"/>
      <c r="C153" s="51"/>
      <c r="D153" s="51"/>
    </row>
    <row r="154" spans="1:4" ht="13.8" thickBot="1" x14ac:dyDescent="0.3">
      <c r="A154" s="3"/>
      <c r="B154" s="3"/>
      <c r="C154" s="11"/>
      <c r="D154" s="11"/>
    </row>
    <row r="155" spans="1:4" ht="13.8" thickBot="1" x14ac:dyDescent="0.3">
      <c r="A155" s="47" t="s">
        <v>22</v>
      </c>
      <c r="B155" s="47">
        <f>SUM(B140:B154)</f>
        <v>0</v>
      </c>
      <c r="C155" s="85" t="s">
        <v>31</v>
      </c>
      <c r="D155" s="48"/>
    </row>
    <row r="156" spans="1:4" ht="13.8" x14ac:dyDescent="0.3">
      <c r="A156" s="49"/>
      <c r="B156" s="49"/>
      <c r="C156" s="49"/>
      <c r="D156" s="49"/>
    </row>
    <row r="157" spans="1:4" x14ac:dyDescent="0.25">
      <c r="A157" s="84" t="s">
        <v>28</v>
      </c>
    </row>
  </sheetData>
  <dataValidations count="4">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xr:uid="{44460710-E505-40B8-8485-BA41A2FB3DB5}">
      <formula1>0</formula1>
      <formula2>DureePeriode-1</formula2>
    </dataValidation>
    <dataValidation type="whole" errorStyle="warning" operator="greaterThan" allowBlank="1" showInputMessage="1" showErrorMessage="1" errorTitle="Durée en 1/3 de période" error="Le nombre doit être de type entier" sqref="F27:F34 B3:B17 B22:B36 B41:B55 B60:B74 B140:B154 B98:B112 B117:B135 B79:B93" xr:uid="{B23B642E-0B29-4ED8-A409-C50EB7CC17BF}">
      <formula1>0</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B37 B56 B75 B94 B113 B136 B155" xr:uid="{C02FA86D-12F2-40ED-8F5D-F7684A1E2EDD}">
      <formula1>0</formula1>
      <formula2>NbPerWeek * NbQuartPer</formula2>
    </dataValidation>
    <dataValidation type="list" allowBlank="1" showInputMessage="1" showErrorMessage="1" sqref="A3:A17 A22:A36 A41:A55 A60:A74 A140:A154 A98:A112 A117:A135 A79:A93" xr:uid="{BCBC0613-73E6-47AF-B0DB-7981EF783ABA}">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43009" r:id="rId4" name="btnImportRealisation">
          <controlPr defaultSize="0" autoLine="0" r:id="rId5">
            <anchor moveWithCells="1">
              <from>
                <xdr:col>4</xdr:col>
                <xdr:colOff>594360</xdr:colOff>
                <xdr:row>0</xdr:row>
                <xdr:rowOff>182880</xdr:rowOff>
              </from>
              <to>
                <xdr:col>7</xdr:col>
                <xdr:colOff>259080</xdr:colOff>
                <xdr:row>2</xdr:row>
                <xdr:rowOff>152400</xdr:rowOff>
              </to>
            </anchor>
          </controlPr>
        </control>
      </mc:Choice>
      <mc:Fallback>
        <control shapeId="43009" r:id="rId4" name="btnImportRealisation"/>
      </mc:Fallback>
    </mc:AlternateContent>
  </control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f2f2df3-a963-4452-b0e7-67dabc627c35">
      <Terms xmlns="http://schemas.microsoft.com/office/infopath/2007/PartnerControls"/>
    </lcf76f155ced4ddcb4097134ff3c332f>
    <TaxCatchAll xmlns="f7d9f5a6-831d-4621-8c77-cbcaf993e406" xsi:nil="true"/>
  </documentManagement>
</p:properties>
</file>

<file path=customXml/item3.xml><?xml version="1.0" encoding="utf-8"?>
<ct:contentTypeSchema xmlns:ct="http://schemas.microsoft.com/office/2006/metadata/contentType" xmlns:ma="http://schemas.microsoft.com/office/2006/metadata/properties/metaAttributes" ct:_="" ma:_="" ma:contentTypeName="Belge" ma:contentTypeID="0x0101001ABD9BFFC9E543439C53A2705AE306EF" ma:contentTypeVersion="14" ma:contentTypeDescription="Yeni belge oluşturun." ma:contentTypeScope="" ma:versionID="ee0afad02cec1cb5c008e069b7696935">
  <xsd:schema xmlns:xsd="http://www.w3.org/2001/XMLSchema" xmlns:xs="http://www.w3.org/2001/XMLSchema" xmlns:p="http://schemas.microsoft.com/office/2006/metadata/properties" xmlns:ns2="bf2f2df3-a963-4452-b0e7-67dabc627c35" xmlns:ns3="f7d9f5a6-831d-4621-8c77-cbcaf993e406" targetNamespace="http://schemas.microsoft.com/office/2006/metadata/properties" ma:root="true" ma:fieldsID="071b3019c14a3acff1c11c5229ff0248" ns2:_="" ns3:_="">
    <xsd:import namespace="bf2f2df3-a963-4452-b0e7-67dabc627c35"/>
    <xsd:import namespace="f7d9f5a6-831d-4621-8c77-cbcaf993e40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DateTaken" minOccurs="0"/>
                <xsd:element ref="ns2:MediaLengthInSeconds"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2f2df3-a963-4452-b0e7-67dabc627c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Resim Etiketleri"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7d9f5a6-831d-4621-8c77-cbcaf993e406" elementFormDefault="qualified">
    <xsd:import namespace="http://schemas.microsoft.com/office/2006/documentManagement/types"/>
    <xsd:import namespace="http://schemas.microsoft.com/office/infopath/2007/PartnerControls"/>
    <xsd:element name="SharedWithUsers" ma:index="13" nillable="true" ma:displayName="Paylaşılanla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Ayrıntıları ile Paylaşıldı" ma:internalName="SharedWithDetails" ma:readOnly="true">
      <xsd:simpleType>
        <xsd:restriction base="dms:Note">
          <xsd:maxLength value="255"/>
        </xsd:restriction>
      </xsd:simpleType>
    </xsd:element>
    <xsd:element name="TaxCatchAll" ma:index="17" nillable="true" ma:displayName="Taxonomy Catch All Column" ma:hidden="true" ma:list="{d5ae18fe-e647-4d3d-978d-a159861f0a34}" ma:internalName="TaxCatchAll" ma:showField="CatchAllData" ma:web="f7d9f5a6-831d-4621-8c77-cbcaf993e4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çerik Türü"/>
        <xsd:element ref="dc:title" minOccurs="0" maxOccurs="1" ma:index="4" ma:displayName="Başlı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83719EA-391A-4C4B-985B-9805B7FCB9D5}">
  <ds:schemaRefs>
    <ds:schemaRef ds:uri="http://schemas.microsoft.com/sharepoint/v3/contenttype/forms"/>
  </ds:schemaRefs>
</ds:datastoreItem>
</file>

<file path=customXml/itemProps2.xml><?xml version="1.0" encoding="utf-8"?>
<ds:datastoreItem xmlns:ds="http://schemas.openxmlformats.org/officeDocument/2006/customXml" ds:itemID="{7C29126A-0525-4FCA-A870-5924A033DD5A}">
  <ds:schemaRefs>
    <ds:schemaRef ds:uri="http://schemas.microsoft.com/office/2006/metadata/properties"/>
    <ds:schemaRef ds:uri="http://schemas.microsoft.com/office/infopath/2007/PartnerControls"/>
    <ds:schemaRef ds:uri="bf2f2df3-a963-4452-b0e7-67dabc627c35"/>
    <ds:schemaRef ds:uri="f7d9f5a6-831d-4621-8c77-cbcaf993e406"/>
  </ds:schemaRefs>
</ds:datastoreItem>
</file>

<file path=customXml/itemProps3.xml><?xml version="1.0" encoding="utf-8"?>
<ds:datastoreItem xmlns:ds="http://schemas.openxmlformats.org/officeDocument/2006/customXml" ds:itemID="{15235525-7A96-4FDC-BE0C-FC0EC8076A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f2f2df3-a963-4452-b0e7-67dabc627c35"/>
    <ds:schemaRef ds:uri="f7d9f5a6-831d-4621-8c77-cbcaf993e4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vt:i4>
      </vt:variant>
      <vt:variant>
        <vt:lpstr>Plages nommées</vt:lpstr>
      </vt:variant>
      <vt:variant>
        <vt:i4>10</vt:i4>
      </vt:variant>
    </vt:vector>
  </HeadingPairs>
  <TitlesOfParts>
    <vt:vector size="16" baseType="lpstr">
      <vt:lpstr>Donnees</vt:lpstr>
      <vt:lpstr>DiagramHeader</vt:lpstr>
      <vt:lpstr>DiagramFooter</vt:lpstr>
      <vt:lpstr>PlanificationWeek</vt:lpstr>
      <vt:lpstr>achievementWeek</vt:lpstr>
      <vt:lpstr>JNLTRAV</vt:lpstr>
      <vt:lpstr>datDateBegin</vt:lpstr>
      <vt:lpstr>lstTasks</vt:lpstr>
      <vt:lpstr>NbPerWeek</vt:lpstr>
      <vt:lpstr>NbQuartPer</vt:lpstr>
      <vt:lpstr>NbWeeks</vt:lpstr>
      <vt:lpstr>objFooterDiagram</vt:lpstr>
      <vt:lpstr>objPlanifWeek</vt:lpstr>
      <vt:lpstr>achievementWeek!objRealizedWeek</vt:lpstr>
      <vt:lpstr>JNLTRAV!objRealizedWeek</vt:lpstr>
      <vt:lpstr>Donnees!Zone_d_impression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Matias Denis</dc:creator>
  <cp:lastModifiedBy>Matias Denis</cp:lastModifiedBy>
  <cp:lastPrinted>2013-08-29T11:33:15Z</cp:lastPrinted>
  <dcterms:created xsi:type="dcterms:W3CDTF">1996-10-21T11:03:58Z</dcterms:created>
  <dcterms:modified xsi:type="dcterms:W3CDTF">2025-12-29T18:52:47Z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0x0101001ABD9BFFC9E543439C53A2705AE306EF</vt:lpwstr>
  </property>
</Properties>
</file>